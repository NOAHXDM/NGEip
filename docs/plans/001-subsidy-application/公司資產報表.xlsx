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公司資產" sheetId="1" r:id="rId4"/>
    <sheet state="visible" name="個人筆電" sheetId="2" r:id="rId5"/>
    <sheet state="visible" name="健檢補助" sheetId="3" r:id="rId6"/>
    <sheet state="visible" name="進修課程" sheetId="4" r:id="rId7"/>
    <sheet state="visible" name="AI" sheetId="5" r:id="rId8"/>
    <sheet state="visible" name="旅遊補助" sheetId="6" r:id="rId9"/>
    <sheet state="visible" name="公費收支明細" sheetId="7" r:id="rId10"/>
    <sheet state="visible" name="供餐補助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113/9/4從報廢筆電轉移電池
電池在113/1/16換過
113/9月健康度89%
</t>
      </text>
    </comment>
    <comment authorId="0" ref="C31">
      <text>
        <t xml:space="preserve">113/9/4更換電池
</t>
      </text>
    </comment>
    <comment authorId="0" ref="C35">
      <text>
        <t xml:space="preserve">2024/9/5從原先77那台更換鍵盤到這
2024/12檢查電池 84%
2025/6 檢查電池
</t>
      </text>
    </comment>
    <comment authorId="0" ref="C45">
      <text>
        <t xml:space="preserve">113/4/28已換電池</t>
      </text>
    </comment>
    <comment authorId="0" ref="C47">
      <text>
        <t xml:space="preserve">113/1/16換完電池</t>
      </text>
    </comment>
    <comment authorId="0" ref="C52">
      <text>
        <t xml:space="preserve">113/12月  84%
2025/6月 檢查健康度
</t>
      </text>
    </comment>
    <comment authorId="0" ref="C56">
      <text>
        <t xml:space="preserve">113/1/16換電池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43120
</t>
      </text>
    </comment>
    <comment authorId="0" ref="B10">
      <text>
        <t xml:space="preserve">54000</t>
      </text>
    </comment>
    <comment authorId="0" ref="B12">
      <text>
        <t xml:space="preserve">54000</t>
      </text>
    </comment>
    <comment authorId="0" ref="B14">
      <text>
        <t xml:space="preserve">42160</t>
      </text>
    </comment>
    <comment authorId="0" ref="B16">
      <text>
        <t xml:space="preserve">49715</t>
      </text>
    </comment>
    <comment authorId="0" ref="B18">
      <text>
        <t xml:space="preserve">36765</t>
      </text>
    </comment>
    <comment authorId="0" ref="B20">
      <text>
        <t xml:space="preserve">54000</t>
      </text>
    </comment>
    <comment authorId="0" ref="A22">
      <text>
        <t xml:space="preserve">領完第一筆才換這筆 發票已給
</t>
      </text>
    </comment>
    <comment authorId="0" ref="B22">
      <text>
        <t xml:space="preserve">54000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12000
</t>
      </text>
    </comment>
    <comment authorId="0" ref="D5">
      <text>
        <t xml:space="preserve">NT$3000，2024如果要申請$9000</t>
      </text>
    </comment>
    <comment authorId="0" ref="E6">
      <text>
        <t xml:space="preserve">12000
</t>
      </text>
    </comment>
    <comment authorId="0" ref="E7">
      <text>
        <t xml:space="preserve">12000
</t>
      </text>
    </comment>
    <comment authorId="0" ref="C10">
      <text>
        <t xml:space="preserve">NT$3000</t>
      </text>
    </comment>
    <comment authorId="0" ref="E10">
      <text>
        <t xml:space="preserve">$9960
剩餘 2040</t>
      </text>
    </comment>
    <comment authorId="0" ref="F10">
      <text>
        <t xml:space="preserve">$8040 
剩餘 $0
2025/12/1 已給付
</t>
      </text>
    </comment>
    <comment authorId="0" ref="E12">
      <text>
        <t xml:space="preserve">12000
</t>
      </text>
    </comment>
    <comment authorId="0" ref="E14">
      <text>
        <t xml:space="preserve">12000</t>
      </text>
    </comment>
    <comment authorId="0" ref="C15">
      <text>
        <t xml:space="preserve">NT$3000</t>
      </text>
    </comment>
    <comment authorId="0" ref="F19">
      <text>
        <t xml:space="preserve">12000
12/2已簽收現金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共申請$5321
$2821延至下季
</t>
      </text>
    </comment>
    <comment authorId="0" ref="A19">
      <text>
        <t xml:space="preserve">2021/9/1-2022/9/1
2022/9/1-2023/9/1
2023/9/1-2024/9/1</t>
      </text>
    </comment>
    <comment authorId="0" ref="E27">
      <text>
        <t xml:space="preserve">10、11
</t>
      </text>
    </comment>
    <comment authorId="0" ref="E31">
      <text>
        <t xml:space="preserve">10、11</t>
      </text>
    </comment>
    <comment authorId="0" ref="A35">
      <text>
        <t xml:space="preserve">
2021/3/1-2022/3/1 不申請
2022/3/1-2023/3/1
2023/3/1-2024/3/1
2024/3/1-2025/3/1</t>
      </text>
    </comment>
    <comment authorId="0" ref="C39">
      <text>
        <t xml:space="preserve">新的開始</t>
      </text>
    </comment>
    <comment authorId="0" ref="A60">
      <text>
        <t xml:space="preserve">2023/3/1  -  2024/3/1
2024/3/1 -  2025/3/1</t>
      </text>
    </comment>
    <comment authorId="0" ref="H75">
      <text>
        <t xml:space="preserve">申請單金額寫 3359, 剩餘 641 由公費支出</t>
      </text>
    </comment>
    <comment authorId="0" ref="I75">
      <text>
        <t xml:space="preserve">12/10 現金$641已簽收
</t>
      </text>
    </comment>
    <comment authorId="0" ref="E76">
      <text>
        <t xml:space="preserve">10、11</t>
      </text>
    </comment>
    <comment authorId="0" ref="C90">
      <text>
        <t xml:space="preserve">達補助上限 $ 24,601
多的601移轉下年</t>
      </text>
    </comment>
    <comment authorId="0" ref="A91">
      <text>
        <t xml:space="preserve">2023/2/10-2024/2/10
2024/2/10-2025/2/10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2025/12/10申請
</t>
      </text>
    </comment>
    <comment authorId="0" ref="C5">
      <text>
        <t xml:space="preserve">12/08申請</t>
      </text>
    </comment>
    <comment authorId="0" ref="C6">
      <text>
        <t xml:space="preserve">2025/12/10申請
</t>
      </text>
    </comment>
    <comment authorId="0" ref="C10">
      <text>
        <t xml:space="preserve">12/02申請
</t>
      </text>
    </comment>
    <comment authorId="0" ref="C18">
      <text>
        <t xml:space="preserve">12/02申請
</t>
      </text>
    </comment>
    <comment authorId="0" ref="C33">
      <text>
        <t xml:space="preserve">12/04申請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旅遊補助報馬來西亞</t>
      </text>
    </comment>
    <comment authorId="0" ref="C2">
      <text>
        <t xml:space="preserve">2024/12/13</t>
      </text>
    </comment>
    <comment authorId="0" ref="C4">
      <text>
        <t xml:space="preserve">2024/8/1</t>
      </text>
    </comment>
    <comment authorId="0" ref="D4">
      <text>
        <t xml:space="preserve">7/11 申請
7/24 已給付</t>
      </text>
    </comment>
    <comment authorId="0" ref="D7">
      <text>
        <t xml:space="preserve">11/13
12/1已給付</t>
      </text>
    </comment>
    <comment authorId="0" ref="B9">
      <text>
        <t xml:space="preserve">2022滿年
2022/2/1-2023/2/1
2023/2/1-2024/2/1
2024/2/1-2025/2/1(2024/12/24使用)
2025/2/1-2026/2/1
</t>
      </text>
    </comment>
    <comment authorId="0" ref="C9">
      <text>
        <t xml:space="preserve">2024/12/22</t>
      </text>
    </comment>
    <comment authorId="0" ref="C11">
      <text>
        <t xml:space="preserve">9/9</t>
      </text>
    </comment>
    <comment authorId="0" ref="C13">
      <text>
        <t xml:space="preserve">2024/4/6</t>
      </text>
    </comment>
    <comment authorId="0" ref="D19">
      <text>
        <t xml:space="preserve">8/18 申請
9/2 已給付
</t>
      </text>
    </comment>
    <comment authorId="0" ref="D21">
      <text>
        <t xml:space="preserve">9/2 申請
9/23 已給付
</t>
      </text>
    </comment>
    <comment authorId="0" ref="D22">
      <text>
        <t xml:space="preserve">6/17
</t>
      </text>
    </comment>
    <comment authorId="0" ref="C24">
      <text>
        <t xml:space="preserve">8/31</t>
      </text>
    </comment>
    <comment authorId="0" ref="D31">
      <text>
        <t xml:space="preserve">11/5 申請
12/1 已給付
</t>
      </text>
    </comment>
    <comment authorId="0" ref="D32">
      <text>
        <t xml:space="preserve">9/2 申請
10/8 已給付</t>
      </text>
    </comment>
    <comment authorId="0" ref="D33">
      <text>
        <t xml:space="preserve">9/24 申請
114/10/8 已給付
</t>
      </text>
    </comment>
  </commentList>
</comments>
</file>

<file path=xl/sharedStrings.xml><?xml version="1.0" encoding="utf-8"?>
<sst xmlns="http://schemas.openxmlformats.org/spreadsheetml/2006/main" count="1449" uniqueCount="390">
  <si>
    <t xml:space="preserve"> </t>
  </si>
  <si>
    <t>購入價格</t>
  </si>
  <si>
    <t>資產規格</t>
  </si>
  <si>
    <t>保管人</t>
  </si>
  <si>
    <t>保管起始時間</t>
  </si>
  <si>
    <t>備註</t>
  </si>
  <si>
    <t>歸還日期 / 交接日期</t>
  </si>
  <si>
    <t>報銷日期</t>
  </si>
  <si>
    <t>Tiny url token</t>
  </si>
  <si>
    <t>N/A</t>
  </si>
  <si>
    <t>qadWiaRHB1WHLIRhpktLCEjF0194HTjlVUt6VjtiqOtmhC3a1ZBSLQBinrvr</t>
  </si>
  <si>
    <t>dm.rd@outlook.com</t>
  </si>
  <si>
    <t>Skype / Postman / Atlassian</t>
  </si>
  <si>
    <t>dm.rd@outlook.com / cSx$W0oW6gbbtu</t>
  </si>
  <si>
    <t>DM.RD (於2025 年5 月淘汰)</t>
  </si>
  <si>
    <t>Telegram account</t>
  </si>
  <si>
    <t>預付卡</t>
  </si>
  <si>
    <t>https://t.me/noahtechltd</t>
  </si>
  <si>
    <t>桂格</t>
  </si>
  <si>
    <t>DM 終端決策</t>
  </si>
  <si>
    <t>https://t.me/dmtechcs</t>
  </si>
  <si>
    <t>梅東</t>
  </si>
  <si>
    <t>Two-Step Verification/noah - DM 技術客服</t>
  </si>
  <si>
    <t>https://t.me/psg3_0</t>
  </si>
  <si>
    <t>梅西</t>
  </si>
  <si>
    <t>Two-Step Verification/NT888NT - DM 金流</t>
  </si>
  <si>
    <t>叮咚訂閱</t>
  </si>
  <si>
    <r>
      <rPr>
        <color rgb="FF1155CC"/>
        <u/>
      </rPr>
      <t>https://t.me/dmtechrd</t>
    </r>
    <r>
      <rPr/>
      <t xml:space="preserve"> (+15025149091 - 續訂日期 2026/4/6)</t>
    </r>
  </si>
  <si>
    <t>趙子龍</t>
  </si>
  <si>
    <t>Two-Step Verification/Noah2020 - DM 娛樂城</t>
  </si>
  <si>
    <r>
      <rPr>
        <color rgb="FF1155CC"/>
        <u/>
      </rPr>
      <t>https://t.me/dmtechprovider</t>
    </r>
    <r>
      <rPr>
        <color rgb="FF000000"/>
      </rPr>
      <t xml:space="preserve"> (+886902187969)</t>
    </r>
  </si>
  <si>
    <t>梅北</t>
  </si>
  <si>
    <t>Two-Step Verification/ao61o3 - DM 支持貢獻</t>
  </si>
  <si>
    <t>Gmail account</t>
  </si>
  <si>
    <t>諾亞前端 / 1wdv2efb-</t>
  </si>
  <si>
    <t>NordVPN</t>
  </si>
  <si>
    <t>訂閱</t>
  </si>
  <si>
    <t>2024年11月7日 ~ 2026年11月7日</t>
  </si>
  <si>
    <t>玟宇</t>
  </si>
  <si>
    <t>noah.tech.ltd@gmail.com/NoahTech2020</t>
  </si>
  <si>
    <t>FlyVPN</t>
  </si>
  <si>
    <t>2026/1/10</t>
  </si>
  <si>
    <t>noah.tech.ltd@gmail.com/NoahNord</t>
  </si>
  <si>
    <t>GatherTown</t>
  </si>
  <si>
    <t>$71.4/per user (續訂日期2026/4/21)</t>
  </si>
  <si>
    <t>GoDaddy</t>
  </si>
  <si>
    <t>標準版SSL 3 years gi.gaema.kpjgd.net, gci.gaema.kpjgd.net 續訂日期2029/2/9</t>
  </si>
  <si>
    <t>noah.tech.ltd@gmail.com/ujKbL8W5ziMCWd</t>
  </si>
  <si>
    <t>標準版SSL 3 years sygi.gema.kpjgd.net 續訂日期2027/5/20</t>
  </si>
  <si>
    <t>Atlassian Trello</t>
  </si>
  <si>
    <t>$60/per user (續訂日期 2026/5/10)</t>
  </si>
  <si>
    <t>strikingly</t>
  </si>
  <si>
    <t>2026/9/17 到期 | Domain 2026/10/1 到期</t>
  </si>
  <si>
    <t xml:space="preserve">noah.tech.ltd@gmail.com </t>
  </si>
  <si>
    <t>Notebook</t>
  </si>
  <si>
    <t>Microsoft 微軟 Surface Laptop3 PMH-00017 白金 (i7-1065G7/16G/512G/W10P/15)</t>
  </si>
  <si>
    <t>洪廷宇</t>
  </si>
  <si>
    <t>作業系統: Windows 10 Pro (認主機板)</t>
  </si>
  <si>
    <t>2025/10/17 折舊變現 $2000</t>
  </si>
  <si>
    <t>李宗翰</t>
  </si>
  <si>
    <t>陳正信</t>
  </si>
  <si>
    <t>葉純宇</t>
  </si>
  <si>
    <t>張綺容</t>
  </si>
  <si>
    <t>簡珮珊</t>
  </si>
  <si>
    <t>鄧仕良</t>
  </si>
  <si>
    <t>楊瀞雯</t>
  </si>
  <si>
    <t>陳玟宇</t>
  </si>
  <si>
    <t>田凱卉</t>
  </si>
  <si>
    <t>Macbook Pro 2018 15inch 2.2GHz 6core i7 16GB / 512 GBSSD</t>
  </si>
  <si>
    <t>湯富宇</t>
  </si>
  <si>
    <t>2019/01 購入</t>
  </si>
  <si>
    <t>2022/5/13 電池膨脹折舊變現 9000</t>
  </si>
  <si>
    <t>MacBook Pro 16 : 2.6GHz 6-core 9th-Intel Core i7, 512GB - Silver (MVVL2TA/A)</t>
  </si>
  <si>
    <t>莊栢瑞</t>
  </si>
  <si>
    <t>於 2023/4/3 美國被偷竊</t>
  </si>
  <si>
    <t>徐世杰</t>
  </si>
  <si>
    <t>鄭淯心</t>
  </si>
  <si>
    <t>Apple Trade In</t>
  </si>
  <si>
    <t>Microsoft 微軟 Surface Laptop3 VFL-00038 黑 (A11/16G/512G/W10H/15)</t>
  </si>
  <si>
    <t>何宇翔</t>
  </si>
  <si>
    <t>作業系統: Windows 10 Home (認主機板)</t>
  </si>
  <si>
    <t>徐嘉言</t>
  </si>
  <si>
    <t>陳凱翔</t>
  </si>
  <si>
    <t>汰舊換新 2025/7/23 3000</t>
  </si>
  <si>
    <t>賴家俊</t>
  </si>
  <si>
    <t>2025/10/13 折舊變現 $2000</t>
  </si>
  <si>
    <t>吳奇燊</t>
  </si>
  <si>
    <t>何叡昇</t>
  </si>
  <si>
    <t>王庭恩</t>
  </si>
  <si>
    <t>李威辰</t>
  </si>
  <si>
    <t>彭志全</t>
  </si>
  <si>
    <t>陳瑤芝</t>
  </si>
  <si>
    <t>凃皓景</t>
  </si>
  <si>
    <t>周棋</t>
  </si>
  <si>
    <t>螢幕破損</t>
  </si>
  <si>
    <t>於 2024/4/29 摔壞螢幕，2024/9/5 已報</t>
  </si>
  <si>
    <t>成天惠</t>
  </si>
  <si>
    <t>鍵盤少一鍵，2025/9/11 報廢$200</t>
  </si>
  <si>
    <t>Microsoft 微軟 Surface Laptop3 PMH-00017 墨黑 (i7-1065G7/16G/512G/W10P/15)</t>
  </si>
  <si>
    <t>陳毅豪</t>
  </si>
  <si>
    <t>黃郁綺</t>
  </si>
  <si>
    <t>許惟棠</t>
  </si>
  <si>
    <t>侯蘊芸</t>
  </si>
  <si>
    <t>Microsoft 微軟 Surface Laptop4 5IM-00042 白金 (i7-1185G7/16G/512G/W10/QHD/15)</t>
  </si>
  <si>
    <t>黃祿芸</t>
  </si>
  <si>
    <t>2025/10/13 折舊變現4000</t>
  </si>
  <si>
    <t>張修豪</t>
  </si>
  <si>
    <t>林佩蓁</t>
  </si>
  <si>
    <t>方宜姍</t>
  </si>
  <si>
    <t>林宏宇</t>
  </si>
  <si>
    <t>林承翰</t>
  </si>
  <si>
    <t>張巧儒</t>
  </si>
  <si>
    <t>孫雅亭</t>
  </si>
  <si>
    <t>MacBook Pro 14: M1 Pro chip with 8-core CPU and 14-core GPU, 512GB SSD Space Grey</t>
  </si>
  <si>
    <t>MSI微星 Stealth 15M B12UE-028TW-SP1(i7-1280P/32G/1TB SSD/RTX3060 6G/15.6/W11/144Hz)</t>
  </si>
  <si>
    <t>MBA 13.3 SPG/8C CPU/7C GPU/8GB/256GB-TWN</t>
  </si>
  <si>
    <t>Apple Trade In 2025/8/3 6000</t>
  </si>
  <si>
    <t>吳思昀</t>
  </si>
  <si>
    <t>蕭逸芬</t>
  </si>
  <si>
    <t>MSI微星 Summit E14Evo A12M-018TW 黑(i7-1280P/32G/1T SSD/Win11Pro/FHD/14)</t>
  </si>
  <si>
    <t>作業系統: Windows 11 Pro (認主機板)</t>
  </si>
  <si>
    <t>胡裕晟</t>
  </si>
  <si>
    <t>陳力卉</t>
  </si>
  <si>
    <t>陳羽絹</t>
  </si>
  <si>
    <t>HP 惠普 15-fd0051TU 星河銀 (i7-1360P/16GB/1TB PCIe/W11/FHD/15.6) 客製化商務筆電 客製規格: 32G*2 DDR4-3200 原廠標規: 1TB PCIe SSD</t>
  </si>
  <si>
    <t>李智鈞</t>
  </si>
  <si>
    <t>盧慧玲</t>
  </si>
  <si>
    <t>張珉豪</t>
  </si>
  <si>
    <t>主機板壞掉報廢 $100</t>
  </si>
  <si>
    <t>MSI Prestige 13Evo A13M-041TW(i7-1360P /32G /1TB /13.3")</t>
  </si>
  <si>
    <t>ThinkPad 聯想 14吋i7商用筆電(X1 Carbon/i7-1370P/32G/1TB SSD/W11P)</t>
  </si>
  <si>
    <t>鄭仲智</t>
  </si>
  <si>
    <t>林沛珊</t>
  </si>
  <si>
    <t>LG gram 17吋沉靜灰17Z90R-G.AD79C2(i7-1360P/32G/1TB/Win11/WQXGA/1350g)</t>
  </si>
  <si>
    <t>作業系統: Windows 11 Home (認主機板)</t>
  </si>
  <si>
    <t>陳錦上</t>
  </si>
  <si>
    <t>LG gram 17吋沉靜灰17Z90S-G.AD79C2 (Ultra 7-155H/32G/1TB/Win11/WQXGA/1350g/77W)</t>
  </si>
  <si>
    <t>Lenovo ThinkPad X1 Carbon Gen11 21HMS02J00 黑 (i7-1370P/32G/1TB PCIe/W11P/WUXGA/14)</t>
  </si>
  <si>
    <t>LG gram 16Z90S-G.AD79C2 沉靜灰(Ultra 7-155H/32G/512G+1T SSD/W11/WQXGA/EVO/16)特仕</t>
  </si>
  <si>
    <t>蔡彣山</t>
  </si>
  <si>
    <t>汰舊換新 2025/7/23 13000</t>
  </si>
  <si>
    <t>LENOVO 聯想X1 Carbon 14吋 商用輕薄筆電黑色(i7-1370P/32GB/1TB/WIN11PRO/21HMS02J00)</t>
  </si>
  <si>
    <t>LENOVO THINKPAD T14 Gen5 21MMS3H800</t>
  </si>
  <si>
    <t>ASUS 華碩Vivobook S16 OLED 16吋AI輕薄筆電黑色(Ultra 9 185H/32GB/1TB/WIN11/S5606MA-0108K185H)</t>
  </si>
  <si>
    <t>作業系統: Windows 11 (認主機板)</t>
  </si>
  <si>
    <t>ASUS Zenbook S 16 UX5606SA-0022W258V 暖煦白(Ultra 7 258V/32G/1TB/W11/3K/16)</t>
  </si>
  <si>
    <t>ASUS 華碩Zenbook S 16 16吋輕薄OLED筆電白色(Ultra 7 258V/32GB/1TB/WIN11/UX5606SA-0062W258V)</t>
  </si>
  <si>
    <t>15 吋 MacBook Air - 銀色 Apple M4 晶片配備 10 核心 CPU、10 核心 GPU、16 核心神經網路引擎 24GB 統一記憶體 512GB SSD 儲存裝置</t>
  </si>
  <si>
    <t>13 吋 MacBook Air - 銀色 Apple M4 晶片配備 10 核心 CPU、10 核心 GPU、16 核心神經網路引擎 24GB 統一記憶體 512GB SSD 儲存裝置</t>
  </si>
  <si>
    <t>張博涵</t>
  </si>
  <si>
    <t>蘇明凱</t>
  </si>
  <si>
    <t>ASUS Zenbook A14 UX3407QA-0082G26100 冰岩灰(Snapdragon X X1 26 100/32G/1TB/W11/FHD/14)</t>
  </si>
  <si>
    <t>期數</t>
  </si>
  <si>
    <t>姓名</t>
  </si>
  <si>
    <t>發票金額</t>
  </si>
  <si>
    <t>-</t>
  </si>
  <si>
    <t>領取日期</t>
  </si>
  <si>
    <t>金額</t>
  </si>
  <si>
    <t>翁聖凱</t>
  </si>
  <si>
    <t>張叔安</t>
  </si>
  <si>
    <t>到職日</t>
  </si>
  <si>
    <t>申請日期</t>
  </si>
  <si>
    <t>課程名稱</t>
  </si>
  <si>
    <t>車馬費</t>
  </si>
  <si>
    <t>住宿</t>
  </si>
  <si>
    <t>申請金額</t>
  </si>
  <si>
    <t>核發日期</t>
  </si>
  <si>
    <t>MWC 軟體開發者的年度技術嘉年華</t>
  </si>
  <si>
    <t>GitHub Copilot 協作開發實戰</t>
  </si>
  <si>
    <t>DevOpsDays Taipei 2024</t>
  </si>
  <si>
    <t>實戰 E2E 測試：使用 Playwright 測試框架</t>
  </si>
  <si>
    <t>AI 2025/10-12</t>
  </si>
  <si>
    <t>JSDC 2025 - JavaScript 開發者年會</t>
  </si>
  <si>
    <t>AI程式設計代理人開發全攻略</t>
  </si>
  <si>
    <t>規格驅動開發實戰:AI時代的軟體開發新典範</t>
  </si>
  <si>
    <t>Agile Summit 2023</t>
  </si>
  <si>
    <t>掌握 AI 驅動的終端機： GitHub Copilot CLI 深度實戰</t>
  </si>
  <si>
    <t>SQL Server 高可用性與災害復原</t>
  </si>
  <si>
    <t>SQL Server 高效能開發密技</t>
  </si>
  <si>
    <t>SQL Sever Alwayson 故障處理與效能調整</t>
  </si>
  <si>
    <t>DevOpsDays Taipei 2023</t>
  </si>
  <si>
    <t>問對問題，設計你的解決方案</t>
  </si>
  <si>
    <t>K8s 新手村一日逃脫術</t>
  </si>
  <si>
    <t>DevOpsDays Taipei 2025(3天)</t>
  </si>
  <si>
    <t>AI 程式設計代理人開發全攻略:從入門到實戰</t>
  </si>
  <si>
    <t>規格驅動開發實戰:AI 時代的軟體開發新典範</t>
  </si>
  <si>
    <t>如何以探索性作法高效測試</t>
  </si>
  <si>
    <t>不確定時代下的敏捷測試</t>
  </si>
  <si>
    <t>Pluralsight</t>
  </si>
  <si>
    <t>精通LINQPad8開發工具</t>
  </si>
  <si>
    <t>Clean Architecture in .NET</t>
  </si>
  <si>
    <t>Dependency Injection in .NET</t>
  </si>
  <si>
    <t>Pragmatic Clean Architecture + Community Access</t>
  </si>
  <si>
    <t>Modular Monolith Architecture + Community Access</t>
  </si>
  <si>
    <t>那些開發 ASP.NET Core 會用到的 C# 語言特性</t>
  </si>
  <si>
    <t>C# 零基礎到精通 C# Zero To Master</t>
  </si>
  <si>
    <t>C#開發實戰：非同步程式開發技巧</t>
  </si>
  <si>
    <t>實戰實戰 API 測試：使用 Postman 測試工具</t>
  </si>
  <si>
    <t>GitHub Copilot 進階開發實戰</t>
  </si>
  <si>
    <t>pragmatic REST APIs + Community</t>
  </si>
  <si>
    <t>精準解析 Entity Framework Core 基礎篇</t>
  </si>
  <si>
    <t>精準解析 Entity Framework Core 進階篇</t>
  </si>
  <si>
    <t>全面掌握GitHub Copilot 代理人模式 :打造專屬AI開發助手</t>
  </si>
  <si>
    <t>OpenAI Codex CLI 代理人開發全攻略：從入門到實戰</t>
  </si>
  <si>
    <t>2025 年 NotebookLM 全新功能探索</t>
  </si>
  <si>
    <t>深入理解 Prompts 與 Instructions 的應用技巧</t>
  </si>
  <si>
    <t>寫出簡潔程式碼</t>
  </si>
  <si>
    <t>AI 時代下的系統分析與設計的 7 堂課（第二堂）</t>
  </si>
  <si>
    <t>AI Coding 實作工作坊</t>
  </si>
  <si>
    <t>規格驅動開發實戰：AI 時代的軟體開發新典範</t>
  </si>
  <si>
    <t>Design Patterns這樣學就會了–進階實作班</t>
  </si>
  <si>
    <t xml:space="preserve">Pragmatic Clean Architecture </t>
  </si>
  <si>
    <t>開發微軟SQL Server 2019與2022資料庫</t>
  </si>
  <si>
    <t>如何寫出人人有共識的需求 - 範例描述需求篇</t>
  </si>
  <si>
    <t>證照考試 CLF-C02 AWS Certified Cloud Practitioner</t>
  </si>
  <si>
    <t>證照考試 SAA-C03 AWS Certified Solutions Architect - Associate</t>
  </si>
  <si>
    <t xml:space="preserve"> AWS Associate Bundle</t>
  </si>
  <si>
    <t>證照 AWS Certified Developer  Associate DVA-C02</t>
  </si>
  <si>
    <t>證照 AWS Certified SysOps Administrator - Associate SOA-C02</t>
  </si>
  <si>
    <t>2025JSDC</t>
  </si>
  <si>
    <t>一小時no-code自製克服機器人GTP</t>
  </si>
  <si>
    <t>精準掌握GTPS的Actions開發技巧</t>
  </si>
  <si>
    <t>例外處理實戰</t>
  </si>
  <si>
    <t>程式碼的煉金術</t>
  </si>
  <si>
    <t>輕鬆學會物件導向</t>
  </si>
  <si>
    <t>從相依倒注入-基礎、進階</t>
  </si>
  <si>
    <t>強勢回歸! 探討你可能不知道的SQL Server PART 2024</t>
  </si>
  <si>
    <t>C# 開發實戰：非同步程式開發技巧</t>
  </si>
  <si>
    <t>決戰設計模式</t>
  </si>
  <si>
    <t>DevOpsDays Taipei</t>
  </si>
  <si>
    <t>領域驅動的產品價值需求與分析-初探領域故事話</t>
  </si>
  <si>
    <t>掌握 AI 驅動的終端機：GitHub Copilot CLI 深度實戰</t>
  </si>
  <si>
    <t>精準解析 Entity Framewor</t>
  </si>
  <si>
    <t xml:space="preserve"> LINQ Essential</t>
  </si>
  <si>
    <r>
      <rPr>
        <rFont val="Arial"/>
        <color rgb="FF000000"/>
      </rPr>
      <t>SQL Sever Alwayson 故障處理與效能調整</t>
    </r>
  </si>
  <si>
    <t>DevDaysAsia2025</t>
  </si>
  <si>
    <t>SQL Server 2025 : 重點新功能解析與實務應用</t>
  </si>
  <si>
    <t>勇闖非同步程式設計-進階篇</t>
  </si>
  <si>
    <t>C# 開發實戰 :非同步程式開發技巧</t>
  </si>
  <si>
    <r>
      <rPr>
        <rFont val="Arial"/>
        <color rgb="FF000000"/>
      </rPr>
      <t>SQL Sever Alwayson 故障處理與效能調整</t>
    </r>
  </si>
  <si>
    <t xml:space="preserve"> SQL Server 2025 : 重點新功能解析與實務應用</t>
  </si>
  <si>
    <t>DevDays Asia 2025亞太技術年會</t>
  </si>
  <si>
    <t>如何寫出人人有共識的需求-範例描述需求篇、
開立有效測試個案的系統性做法</t>
  </si>
  <si>
    <r>
      <rPr>
        <rFont val="Arial"/>
        <color rgb="FF000000"/>
      </rPr>
      <t>SQL Sever Alwayson 故障處理與效能調整</t>
    </r>
  </si>
  <si>
    <t xml:space="preserve">張修豪	</t>
  </si>
  <si>
    <t>github copilot 入門到進階</t>
  </si>
  <si>
    <t>PMP國際專案管理訓練班</t>
  </si>
  <si>
    <t>SQLPASSTW</t>
  </si>
  <si>
    <t>DevDays Asia 2025</t>
  </si>
  <si>
    <t>季月份</t>
  </si>
  <si>
    <t>第1月金額</t>
  </si>
  <si>
    <t>第2月金額</t>
  </si>
  <si>
    <t>第3月金額</t>
  </si>
  <si>
    <t>總申請金額</t>
  </si>
  <si>
    <t>延至下一季金額</t>
  </si>
  <si>
    <t>/2</t>
  </si>
  <si>
    <t>10月、11月、12月</t>
  </si>
  <si>
    <t>標示說明</t>
  </si>
  <si>
    <t>已核發</t>
  </si>
  <si>
    <t>申請中</t>
  </si>
  <si>
    <t>已申請未簽核</t>
  </si>
  <si>
    <t>已使用員旅</t>
  </si>
  <si>
    <t>公費收支明細</t>
  </si>
  <si>
    <t>日期</t>
  </si>
  <si>
    <t>內容</t>
  </si>
  <si>
    <t>收入</t>
  </si>
  <si>
    <t>支出</t>
  </si>
  <si>
    <t>結餘</t>
  </si>
  <si>
    <t>統編</t>
  </si>
  <si>
    <t>電腦折舊 &amp; 螢幕折舊</t>
  </si>
  <si>
    <t>顧問費餘額</t>
  </si>
  <si>
    <t>原先公費</t>
  </si>
  <si>
    <t>臣悅會計發票費用</t>
  </si>
  <si>
    <t>無</t>
  </si>
  <si>
    <t>飲水機清潔</t>
  </si>
  <si>
    <t>影印</t>
  </si>
  <si>
    <t>螢幕折舊</t>
  </si>
  <si>
    <t>文具用品(紅包、夾鏈袋)</t>
  </si>
  <si>
    <t>卡片</t>
  </si>
  <si>
    <t>土地公拜拜</t>
  </si>
  <si>
    <t>大世紀發票章*2</t>
  </si>
  <si>
    <t>同仁買磁卡</t>
  </si>
  <si>
    <t>桶裝水</t>
  </si>
  <si>
    <t>無統編有收據</t>
  </si>
  <si>
    <t>滑鼠電池</t>
  </si>
  <si>
    <t>消防費用餘額</t>
  </si>
  <si>
    <t>12月激勵獎金(挪用)</t>
  </si>
  <si>
    <t>午餐</t>
  </si>
  <si>
    <t>會計發票</t>
  </si>
  <si>
    <t>零用金</t>
  </si>
  <si>
    <t>傳真、影印</t>
  </si>
  <si>
    <t>收據</t>
  </si>
  <si>
    <t>卡片*7 + 紅包50入*3 + 摸彩卷*5</t>
  </si>
  <si>
    <t>摸彩卷*8</t>
  </si>
  <si>
    <t>零食</t>
  </si>
  <si>
    <t>香油錢</t>
  </si>
  <si>
    <t>尾牙車費補助(部分人)</t>
  </si>
  <si>
    <t>尾牙出馬補助(亞當、凱西、叻叻)</t>
  </si>
  <si>
    <t>尾牙車費補助(阿信)</t>
  </si>
  <si>
    <t>尾牙車費補助(阿杰)</t>
  </si>
  <si>
    <t>尾牙車費補助 - jiji</t>
  </si>
  <si>
    <t/>
  </si>
  <si>
    <t>辦公室零食</t>
  </si>
  <si>
    <t>午餐運費</t>
  </si>
  <si>
    <t>尾牙車費補助 - han</t>
  </si>
  <si>
    <t>衛生紙</t>
  </si>
  <si>
    <t>臣悅發票費</t>
  </si>
  <si>
    <t>下午茶-飲料</t>
  </si>
  <si>
    <t>下午茶-雞排</t>
  </si>
  <si>
    <t>廠商繳費找零</t>
  </si>
  <si>
    <t>4月下午茶-鬆餅</t>
  </si>
  <si>
    <t>4月下午茶-飲料</t>
  </si>
  <si>
    <t>水煙-消毒</t>
  </si>
  <si>
    <t>4月零食</t>
  </si>
  <si>
    <t>gahther繳款餘額</t>
  </si>
  <si>
    <t>郵寄</t>
  </si>
  <si>
    <t>卡片*10</t>
  </si>
  <si>
    <t>借款</t>
  </si>
  <si>
    <t>還款</t>
  </si>
  <si>
    <t>會計費用</t>
  </si>
  <si>
    <t>5月下午茶-茶奶奶</t>
  </si>
  <si>
    <t>5月下午茶-豆花</t>
  </si>
  <si>
    <t>trello餘款</t>
  </si>
  <si>
    <t>ˋ</t>
  </si>
  <si>
    <t>AWS繳費餘款</t>
  </si>
  <si>
    <t>明細</t>
  </si>
  <si>
    <t>6月零食</t>
  </si>
  <si>
    <t>6月下午茶-蛋沙拉</t>
  </si>
  <si>
    <t>6月下午茶-飲料</t>
  </si>
  <si>
    <t>充電器</t>
  </si>
  <si>
    <t>補 充電器費用</t>
  </si>
  <si>
    <t>廠商繳款</t>
  </si>
  <si>
    <t>天貺節油香錢</t>
  </si>
  <si>
    <t>拜拜供品</t>
  </si>
  <si>
    <t>7月零食</t>
  </si>
  <si>
    <t>會計發票費</t>
  </si>
  <si>
    <t>下午茶- 飲料</t>
  </si>
  <si>
    <t>垃圾袋、紅包、夾鏈袋</t>
  </si>
  <si>
    <t>門禁卡</t>
  </si>
  <si>
    <t>8月零食</t>
  </si>
  <si>
    <t>卡片、白板筆補充液</t>
  </si>
  <si>
    <t>下午茶-豆花</t>
  </si>
  <si>
    <t>下午茶-鬆餅</t>
  </si>
  <si>
    <t>飲用水</t>
  </si>
  <si>
    <t>筆電報廢</t>
  </si>
  <si>
    <t>磁卡</t>
  </si>
  <si>
    <t>滑鼠、hub</t>
  </si>
  <si>
    <t>普渡金紙</t>
  </si>
  <si>
    <t>零用錢</t>
  </si>
  <si>
    <t xml:space="preserve">  </t>
  </si>
  <si>
    <t>影印*30張</t>
  </si>
  <si>
    <t>白包*2</t>
  </si>
  <si>
    <t>下午茶-三明治</t>
  </si>
  <si>
    <t>繳款餘額</t>
  </si>
  <si>
    <t>飲水機清洗</t>
  </si>
  <si>
    <t>10月零食</t>
  </si>
  <si>
    <t>影印-補助申請*30</t>
  </si>
  <si>
    <t>影印*差旅報到單</t>
  </si>
  <si>
    <t>收據'</t>
  </si>
  <si>
    <t>下午茶-港式</t>
  </si>
  <si>
    <t>筆電折舊變現</t>
  </si>
  <si>
    <t>車資</t>
  </si>
  <si>
    <t>11月零食(信用卡已溢繳)</t>
  </si>
  <si>
    <t>自費門禁卡</t>
  </si>
  <si>
    <t>午餐(信用卡已溢繳)</t>
  </si>
  <si>
    <t xml:space="preserve">            </t>
  </si>
  <si>
    <t>下午茶自費</t>
  </si>
  <si>
    <t>uber</t>
  </si>
  <si>
    <t>交通</t>
  </si>
  <si>
    <t xml:space="preserve">                  </t>
  </si>
  <si>
    <t>生日卡片</t>
  </si>
  <si>
    <t>12月零食(信用卡已溢繳)</t>
  </si>
  <si>
    <t>陳毅豪課程補助</t>
  </si>
  <si>
    <t>停車費</t>
  </si>
  <si>
    <t>Q4聚餐自費</t>
  </si>
  <si>
    <t>2025 Jan</t>
  </si>
  <si>
    <t>2025 Feb</t>
  </si>
  <si>
    <t>2025 Mar</t>
  </si>
  <si>
    <t>2025 Apr</t>
  </si>
  <si>
    <t>2025 May</t>
  </si>
  <si>
    <t>2025 Jun</t>
  </si>
  <si>
    <t>2025 July</t>
  </si>
  <si>
    <t>2025 Aug</t>
  </si>
  <si>
    <t>2025 Sep</t>
  </si>
  <si>
    <t>2025 Oct</t>
  </si>
  <si>
    <t>2025 Nov</t>
  </si>
  <si>
    <t>2025 Dec.</t>
  </si>
  <si>
    <t>人數</t>
  </si>
  <si>
    <t>Minibar</t>
  </si>
  <si>
    <t>單月合計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</si>
</sst>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m/dd"/>
    <numFmt numFmtId="165" formatCode="yyyy/m/d"/>
    <numFmt numFmtId="166" formatCode="yyyy/M/d"/>
    <numFmt numFmtId="167" formatCode="yyyy&quot;/&quot;m&quot;/&quot;d"/>
    <numFmt numFmtId="168" formatCode="yyyy&quot;/&quot;mm&quot;/&quot;dd"/>
    <numFmt numFmtId="169" formatCode="m/d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color rgb="FF333333"/>
      <name val="Verdana"/>
    </font>
    <font/>
    <font>
      <strike/>
      <color theme="1"/>
      <name val="Arial"/>
      <scheme val="minor"/>
    </font>
    <font>
      <strike/>
      <color rgb="FF333333"/>
      <name val="Verdana"/>
    </font>
    <font>
      <strike/>
      <color theme="1"/>
      <name val="Arial"/>
    </font>
    <font>
      <sz val="16.0"/>
      <color theme="1"/>
      <name val="Arial"/>
      <scheme val="minor"/>
    </font>
    <font>
      <sz val="16.0"/>
      <color rgb="FF000000"/>
      <name val="Arial"/>
      <scheme val="minor"/>
    </font>
    <font>
      <sz val="14.0"/>
      <color rgb="FF000000"/>
      <name val="Arial"/>
      <scheme val="minor"/>
    </font>
    <font>
      <sz val="14.0"/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1.0"/>
      <color rgb="FF1A1B1F"/>
      <name val="Roboto"/>
    </font>
    <font>
      <b/>
      <sz val="18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0.0"/>
      <color rgb="FF474747"/>
      <name val="Arial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5" numFmtId="49" xfId="0" applyAlignment="1" applyBorder="1" applyFont="1" applyNumberFormat="1">
      <alignment horizontal="left" readingOrder="0"/>
    </xf>
    <xf borderId="1" fillId="0" fontId="1" numFmtId="49" xfId="0" applyAlignment="1" applyBorder="1" applyFont="1" applyNumberFormat="1">
      <alignment horizontal="left" readingOrder="0"/>
    </xf>
    <xf borderId="1" fillId="0" fontId="1" numFmtId="49" xfId="0" applyAlignment="1" applyBorder="1" applyFont="1" applyNumberFormat="1">
      <alignment horizontal="left" readingOrder="0"/>
    </xf>
    <xf borderId="2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readingOrder="0" vertical="center"/>
    </xf>
    <xf borderId="2" fillId="2" fontId="6" numFmtId="0" xfId="0" applyAlignment="1" applyBorder="1" applyFont="1">
      <alignment vertical="center"/>
    </xf>
    <xf borderId="1" fillId="3" fontId="1" numFmtId="0" xfId="0" applyBorder="1" applyFill="1" applyFont="1"/>
    <xf borderId="1" fillId="3" fontId="1" numFmtId="164" xfId="0" applyBorder="1" applyFont="1" applyNumberFormat="1"/>
    <xf borderId="2" fillId="2" fontId="2" numFmtId="0" xfId="0" applyAlignment="1" applyBorder="1" applyFont="1">
      <alignment readingOrder="0" vertical="center"/>
    </xf>
    <xf borderId="0" fillId="0" fontId="2" numFmtId="0" xfId="0" applyFont="1"/>
    <xf borderId="3" fillId="0" fontId="7" numFmtId="0" xfId="0" applyBorder="1" applyFont="1"/>
    <xf borderId="1" fillId="3" fontId="1" numFmtId="0" xfId="0" applyAlignment="1" applyBorder="1" applyFont="1">
      <alignment readingOrder="0"/>
    </xf>
    <xf borderId="1" fillId="3" fontId="1" numFmtId="164" xfId="0" applyAlignment="1" applyBorder="1" applyFont="1" applyNumberFormat="1">
      <alignment readingOrder="0"/>
    </xf>
    <xf borderId="1" fillId="3" fontId="1" numFmtId="165" xfId="0" applyAlignment="1" applyBorder="1" applyFont="1" applyNumberFormat="1">
      <alignment readingOrder="0"/>
    </xf>
    <xf borderId="4" fillId="0" fontId="7" numFmtId="0" xfId="0" applyBorder="1" applyFont="1"/>
    <xf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8" numFmtId="0" xfId="0" applyBorder="1" applyFont="1"/>
    <xf borderId="1" fillId="2" fontId="8" numFmtId="0" xfId="0" applyAlignment="1" applyBorder="1" applyFont="1">
      <alignment readingOrder="0"/>
    </xf>
    <xf borderId="1" fillId="2" fontId="9" numFmtId="0" xfId="0" applyBorder="1" applyFont="1"/>
    <xf borderId="1" fillId="2" fontId="8" numFmtId="164" xfId="0" applyBorder="1" applyFont="1" applyNumberFormat="1"/>
    <xf borderId="1" fillId="2" fontId="1" numFmtId="165" xfId="0" applyAlignment="1" applyBorder="1" applyFont="1" applyNumberFormat="1">
      <alignment readingOrder="0"/>
    </xf>
    <xf borderId="1" fillId="2" fontId="10" numFmtId="0" xfId="0" applyBorder="1" applyFont="1"/>
    <xf borderId="1" fillId="2" fontId="10" numFmtId="0" xfId="0" applyAlignment="1" applyBorder="1" applyFont="1">
      <alignment readingOrder="0"/>
    </xf>
    <xf borderId="1" fillId="2" fontId="10" numFmtId="164" xfId="0" applyBorder="1" applyFont="1" applyNumberFormat="1"/>
    <xf borderId="1" fillId="2" fontId="1" numFmtId="0" xfId="0" applyAlignment="1" applyBorder="1" applyFont="1">
      <alignment horizontal="right" readingOrder="0"/>
    </xf>
    <xf borderId="2" fillId="2" fontId="10" numFmtId="0" xfId="0" applyAlignment="1" applyBorder="1" applyFont="1">
      <alignment vertical="center"/>
    </xf>
    <xf borderId="2" fillId="2" fontId="10" numFmtId="0" xfId="0" applyAlignment="1" applyBorder="1" applyFont="1">
      <alignment readingOrder="0" vertical="center"/>
    </xf>
    <xf borderId="1" fillId="3" fontId="10" numFmtId="0" xfId="0" applyBorder="1" applyFont="1"/>
    <xf borderId="1" fillId="3" fontId="10" numFmtId="164" xfId="0" applyBorder="1" applyFont="1" applyNumberFormat="1"/>
    <xf borderId="2" fillId="2" fontId="1" numFmtId="0" xfId="0" applyBorder="1" applyFont="1"/>
    <xf borderId="1" fillId="0" fontId="1" numFmtId="0" xfId="0" applyBorder="1" applyFont="1"/>
    <xf borderId="1" fillId="2" fontId="10" numFmtId="164" xfId="0" applyAlignment="1" applyBorder="1" applyFont="1" applyNumberFormat="1">
      <alignment readingOrder="0"/>
    </xf>
    <xf borderId="2" fillId="2" fontId="8" numFmtId="0" xfId="0" applyAlignment="1" applyBorder="1" applyFont="1">
      <alignment vertical="center"/>
    </xf>
    <xf borderId="1" fillId="3" fontId="8" numFmtId="164" xfId="0" applyBorder="1" applyFont="1" applyNumberFormat="1"/>
    <xf borderId="1" fillId="2" fontId="1" numFmtId="0" xfId="0" applyBorder="1" applyFont="1"/>
    <xf borderId="1" fillId="3" fontId="10" numFmtId="0" xfId="0" applyAlignment="1" applyBorder="1" applyFont="1">
      <alignment readingOrder="0"/>
    </xf>
    <xf borderId="1" fillId="3" fontId="8" numFmtId="164" xfId="0" applyAlignment="1" applyBorder="1" applyFont="1" applyNumberFormat="1">
      <alignment readingOrder="0"/>
    </xf>
    <xf borderId="1" fillId="2" fontId="8" numFmtId="164" xfId="0" applyAlignment="1" applyBorder="1" applyFont="1" applyNumberFormat="1">
      <alignment readingOrder="0"/>
    </xf>
    <xf borderId="2" fillId="2" fontId="8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/>
    </xf>
    <xf borderId="2" fillId="3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2" fillId="2" fontId="8" numFmtId="0" xfId="0" applyAlignment="1" applyBorder="1" applyFont="1">
      <alignment horizontal="right" readingOrder="0" vertical="center"/>
    </xf>
    <xf borderId="2" fillId="2" fontId="8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left" readingOrder="1" vertical="center"/>
    </xf>
    <xf borderId="2" fillId="4" fontId="1" numFmtId="0" xfId="0" applyAlignment="1" applyBorder="1" applyFill="1" applyFont="1">
      <alignment readingOrder="0" vertical="center"/>
    </xf>
    <xf borderId="1" fillId="5" fontId="1" numFmtId="0" xfId="0" applyAlignment="1" applyBorder="1" applyFill="1" applyFont="1">
      <alignment readingOrder="0"/>
    </xf>
    <xf borderId="1" fillId="4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2" fillId="2" fontId="1" numFmtId="0" xfId="0" applyAlignment="1" applyBorder="1" applyFont="1">
      <alignment horizontal="left" readingOrder="0" vertical="center"/>
    </xf>
    <xf borderId="1" fillId="4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2" fillId="4" fontId="1" numFmtId="0" xfId="0" applyAlignment="1" applyBorder="1" applyFont="1">
      <alignment vertical="center"/>
    </xf>
    <xf borderId="1" fillId="2" fontId="8" numFmtId="0" xfId="0" applyAlignment="1" applyBorder="1" applyFont="1">
      <alignment readingOrder="0" vertical="center"/>
    </xf>
    <xf borderId="1" fillId="2" fontId="8" numFmtId="165" xfId="0" applyAlignment="1" applyBorder="1" applyFont="1" applyNumberFormat="1">
      <alignment readingOrder="0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right" readingOrder="0" vertical="center"/>
    </xf>
    <xf borderId="1" fillId="0" fontId="1" numFmtId="166" xfId="0" applyAlignment="1" applyBorder="1" applyFont="1" applyNumberFormat="1">
      <alignment readingOrder="0"/>
    </xf>
    <xf borderId="2" fillId="0" fontId="1" numFmtId="0" xfId="0" applyBorder="1" applyFont="1"/>
    <xf borderId="1" fillId="3" fontId="8" numFmtId="165" xfId="0" applyAlignment="1" applyBorder="1" applyFont="1" applyNumberFormat="1">
      <alignment readingOrder="0"/>
    </xf>
    <xf borderId="2" fillId="3" fontId="1" numFmtId="0" xfId="0" applyAlignment="1" applyBorder="1" applyFont="1">
      <alignment horizontal="left" readingOrder="0" vertical="center"/>
    </xf>
    <xf borderId="1" fillId="6" fontId="1" numFmtId="0" xfId="0" applyAlignment="1" applyBorder="1" applyFill="1" applyFont="1">
      <alignment readingOrder="0"/>
    </xf>
    <xf borderId="1" fillId="6" fontId="1" numFmtId="165" xfId="0" applyAlignment="1" applyBorder="1" applyFont="1" applyNumberFormat="1">
      <alignment readingOrder="0"/>
    </xf>
    <xf borderId="1" fillId="3" fontId="1" numFmtId="166" xfId="0" applyAlignment="1" applyBorder="1" applyFont="1" applyNumberFormat="1">
      <alignment readingOrder="0"/>
    </xf>
    <xf borderId="2" fillId="3" fontId="1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0" fontId="1" numFmtId="165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left"/>
    </xf>
    <xf borderId="5" fillId="7" fontId="11" numFmtId="0" xfId="0" applyAlignment="1" applyBorder="1" applyFill="1" applyFont="1">
      <alignment horizontal="center" readingOrder="0" vertical="center"/>
    </xf>
    <xf borderId="6" fillId="7" fontId="1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7" fillId="0" fontId="7" numFmtId="0" xfId="0" applyBorder="1" applyFont="1"/>
    <xf borderId="6" fillId="0" fontId="7" numFmtId="0" xfId="0" applyBorder="1" applyFont="1"/>
    <xf borderId="2" fillId="0" fontId="1" numFmtId="3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2" fillId="3" fontId="1" numFmtId="3" xfId="0" applyAlignment="1" applyBorder="1" applyFont="1" applyNumberFormat="1">
      <alignment horizontal="center" readingOrder="0"/>
    </xf>
    <xf borderId="1" fillId="3" fontId="1" numFmtId="165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3" fontId="1" numFmtId="3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3" fontId="1" numFmtId="165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8" fillId="0" fontId="1" numFmtId="3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2" fillId="0" fontId="1" numFmtId="165" xfId="0" applyAlignment="1" applyBorder="1" applyFont="1" applyNumberFormat="1">
      <alignment horizontal="center" readingOrder="0"/>
    </xf>
    <xf borderId="9" fillId="0" fontId="1" numFmtId="165" xfId="0" applyAlignment="1" applyBorder="1" applyFont="1" applyNumberFormat="1">
      <alignment horizontal="center" readingOrder="0"/>
    </xf>
    <xf borderId="9" fillId="4" fontId="1" numFmtId="165" xfId="0" applyAlignment="1" applyBorder="1" applyFont="1" applyNumberFormat="1">
      <alignment horizontal="center" readingOrder="0"/>
    </xf>
    <xf borderId="9" fillId="0" fontId="1" numFmtId="166" xfId="0" applyAlignment="1" applyBorder="1" applyFont="1" applyNumberFormat="1">
      <alignment horizontal="center" readingOrder="0"/>
    </xf>
    <xf borderId="2" fillId="0" fontId="1" numFmtId="166" xfId="0" applyAlignment="1" applyBorder="1" applyFont="1" applyNumberFormat="1">
      <alignment horizontal="center" readingOrder="0"/>
    </xf>
    <xf borderId="9" fillId="0" fontId="1" numFmtId="166" xfId="0" applyAlignment="1" applyBorder="1" applyFont="1" applyNumberFormat="1">
      <alignment horizontal="center"/>
    </xf>
    <xf borderId="9" fillId="0" fontId="1" numFmtId="0" xfId="0" applyBorder="1" applyFont="1"/>
    <xf borderId="10" fillId="0" fontId="7" numFmtId="0" xfId="0" applyBorder="1" applyFont="1"/>
    <xf borderId="4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4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9" fillId="0" fontId="1" numFmtId="167" xfId="0" applyAlignment="1" applyBorder="1" applyFont="1" applyNumberFormat="1">
      <alignment horizontal="center" readingOrder="0"/>
    </xf>
    <xf borderId="11" fillId="0" fontId="1" numFmtId="0" xfId="0" applyBorder="1" applyFont="1"/>
    <xf borderId="9" fillId="4" fontId="1" numFmtId="166" xfId="0" applyAlignment="1" applyBorder="1" applyFont="1" applyNumberFormat="1">
      <alignment horizontal="center" readingOrder="0"/>
    </xf>
    <xf borderId="2" fillId="0" fontId="1" numFmtId="3" xfId="0" applyAlignment="1" applyBorder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/>
    </xf>
    <xf borderId="4" fillId="0" fontId="1" numFmtId="0" xfId="0" applyBorder="1" applyFont="1"/>
    <xf borderId="2" fillId="8" fontId="1" numFmtId="0" xfId="0" applyAlignment="1" applyBorder="1" applyFill="1" applyFont="1">
      <alignment horizontal="center" readingOrder="0" vertical="center"/>
    </xf>
    <xf borderId="2" fillId="8" fontId="1" numFmtId="3" xfId="0" applyAlignment="1" applyBorder="1" applyFont="1" applyNumberFormat="1">
      <alignment horizontal="center" readingOrder="0" vertical="center"/>
    </xf>
    <xf borderId="1" fillId="8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left" readingOrder="0"/>
    </xf>
    <xf borderId="1" fillId="0" fontId="1" numFmtId="166" xfId="0" applyBorder="1" applyFont="1" applyNumberFormat="1"/>
    <xf borderId="1" fillId="0" fontId="2" numFmtId="165" xfId="0" applyAlignment="1" applyBorder="1" applyFont="1" applyNumberFormat="1">
      <alignment horizontal="left" vertical="bottom"/>
    </xf>
    <xf borderId="2" fillId="0" fontId="2" numFmtId="0" xfId="0" applyAlignment="1" applyBorder="1" applyFont="1">
      <alignment vertical="center"/>
    </xf>
    <xf borderId="2" fillId="0" fontId="2" numFmtId="165" xfId="0" applyAlignment="1" applyBorder="1" applyFont="1" applyNumberFormat="1">
      <alignment horizontal="left" vertical="center"/>
    </xf>
    <xf borderId="1" fillId="4" fontId="2" numFmtId="0" xfId="0" applyAlignment="1" applyBorder="1" applyFont="1">
      <alignment vertical="bottom"/>
    </xf>
    <xf borderId="1" fillId="0" fontId="1" numFmtId="166" xfId="0" applyAlignment="1" applyBorder="1" applyFont="1" applyNumberFormat="1">
      <alignment horizontal="left" readingOrder="0"/>
    </xf>
    <xf borderId="0" fillId="0" fontId="1" numFmtId="0" xfId="0" applyAlignment="1" applyFont="1">
      <alignment horizontal="left"/>
    </xf>
    <xf borderId="2" fillId="0" fontId="12" numFmtId="0" xfId="0" applyAlignment="1" applyBorder="1" applyFont="1">
      <alignment horizontal="center" readingOrder="0" vertical="center"/>
    </xf>
    <xf borderId="2" fillId="0" fontId="13" numFmtId="168" xfId="0" applyAlignment="1" applyBorder="1" applyFont="1" applyNumberFormat="1">
      <alignment readingOrder="0" vertical="center"/>
    </xf>
    <xf borderId="2" fillId="0" fontId="13" numFmtId="0" xfId="0" applyAlignment="1" applyBorder="1" applyFont="1">
      <alignment readingOrder="0" vertical="center"/>
    </xf>
    <xf borderId="2" fillId="0" fontId="14" numFmtId="0" xfId="0" applyAlignment="1" applyBorder="1" applyFont="1">
      <alignment horizontal="left" readingOrder="0" vertical="center"/>
    </xf>
    <xf borderId="2" fillId="0" fontId="15" numFmtId="0" xfId="0" applyAlignment="1" applyBorder="1" applyFont="1">
      <alignment vertical="center"/>
    </xf>
    <xf borderId="2" fillId="0" fontId="1" numFmtId="165" xfId="0" applyAlignment="1" applyBorder="1" applyFont="1" applyNumberFormat="1">
      <alignment horizontal="left" readingOrder="0" vertical="center"/>
    </xf>
    <xf borderId="1" fillId="0" fontId="16" numFmtId="168" xfId="0" applyAlignment="1" applyBorder="1" applyFont="1" applyNumberFormat="1">
      <alignment readingOrder="0"/>
    </xf>
    <xf borderId="1" fillId="0" fontId="16" numFmtId="0" xfId="0" applyAlignment="1" applyBorder="1" applyFont="1">
      <alignment readingOrder="0"/>
    </xf>
    <xf borderId="6" fillId="0" fontId="16" numFmtId="0" xfId="0" applyAlignment="1" applyBorder="1" applyFont="1">
      <alignment readingOrder="0"/>
    </xf>
    <xf borderId="1" fillId="0" fontId="15" numFmtId="0" xfId="0" applyAlignment="1" applyBorder="1" applyFont="1">
      <alignment readingOrder="0" vertical="bottom"/>
    </xf>
    <xf borderId="6" fillId="0" fontId="15" numFmtId="0" xfId="0" applyAlignment="1" applyBorder="1" applyFont="1">
      <alignment horizontal="right" readingOrder="0" vertical="bottom"/>
    </xf>
    <xf borderId="1" fillId="2" fontId="16" numFmtId="168" xfId="0" applyAlignment="1" applyBorder="1" applyFont="1" applyNumberFormat="1">
      <alignment readingOrder="0"/>
    </xf>
    <xf borderId="1" fillId="2" fontId="15" numFmtId="0" xfId="0" applyAlignment="1" applyBorder="1" applyFont="1">
      <alignment readingOrder="0" vertical="bottom"/>
    </xf>
    <xf borderId="6" fillId="2" fontId="15" numFmtId="0" xfId="0" applyAlignment="1" applyBorder="1" applyFont="1">
      <alignment horizontal="right" readingOrder="0" vertical="bottom"/>
    </xf>
    <xf borderId="6" fillId="2" fontId="16" numFmtId="0" xfId="0" applyAlignment="1" applyBorder="1" applyFont="1">
      <alignment readingOrder="0"/>
    </xf>
    <xf borderId="1" fillId="2" fontId="16" numFmtId="0" xfId="0" applyAlignment="1" applyBorder="1" applyFont="1">
      <alignment readingOrder="0"/>
    </xf>
    <xf borderId="2" fillId="0" fontId="15" numFmtId="0" xfId="0" applyAlignment="1" applyBorder="1" applyFont="1">
      <alignment horizontal="left" vertical="center"/>
    </xf>
    <xf borderId="1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15" numFmtId="0" xfId="0" applyAlignment="1" applyBorder="1" applyFont="1">
      <alignment vertical="center"/>
    </xf>
    <xf borderId="1" fillId="0" fontId="1" numFmtId="165" xfId="0" applyAlignment="1" applyBorder="1" applyFont="1" applyNumberFormat="1">
      <alignment horizontal="left" readingOrder="0" vertical="center"/>
    </xf>
    <xf borderId="1" fillId="0" fontId="16" numFmtId="168" xfId="0" applyBorder="1" applyFont="1" applyNumberFormat="1"/>
    <xf borderId="1" fillId="0" fontId="16" numFmtId="0" xfId="0" applyBorder="1" applyFont="1"/>
    <xf borderId="2" fillId="3" fontId="15" numFmtId="0" xfId="0" applyAlignment="1" applyBorder="1" applyFont="1">
      <alignment horizontal="left" vertical="center"/>
    </xf>
    <xf borderId="2" fillId="3" fontId="1" numFmtId="165" xfId="0" applyAlignment="1" applyBorder="1" applyFont="1" applyNumberFormat="1">
      <alignment horizontal="left" readingOrder="0" vertical="center"/>
    </xf>
    <xf borderId="1" fillId="3" fontId="16" numFmtId="168" xfId="0" applyAlignment="1" applyBorder="1" applyFont="1" applyNumberFormat="1">
      <alignment readingOrder="0"/>
    </xf>
    <xf borderId="1" fillId="3" fontId="16" numFmtId="0" xfId="0" applyAlignment="1" applyBorder="1" applyFont="1">
      <alignment readingOrder="0"/>
    </xf>
    <xf borderId="1" fillId="3" fontId="1" numFmtId="168" xfId="0" applyAlignment="1" applyBorder="1" applyFont="1" applyNumberFormat="1">
      <alignment readingOrder="0" vertical="center"/>
    </xf>
    <xf borderId="2" fillId="4" fontId="2" numFmtId="0" xfId="0" applyAlignment="1" applyBorder="1" applyFont="1">
      <alignment horizontal="left" readingOrder="0" vertical="center"/>
    </xf>
    <xf borderId="2" fillId="4" fontId="1" numFmtId="168" xfId="0" applyAlignment="1" applyBorder="1" applyFont="1" applyNumberFormat="1">
      <alignment readingOrder="0" vertical="center"/>
    </xf>
    <xf borderId="1" fillId="4" fontId="1" numFmtId="0" xfId="0" applyAlignment="1" applyBorder="1" applyFont="1">
      <alignment readingOrder="0"/>
    </xf>
    <xf borderId="6" fillId="4" fontId="2" numFmtId="0" xfId="0" applyAlignment="1" applyBorder="1" applyFont="1">
      <alignment horizontal="right" vertical="bottom"/>
    </xf>
    <xf borderId="1" fillId="0" fontId="1" numFmtId="168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1" fillId="0" fontId="2" numFmtId="168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165" xfId="0" applyAlignment="1" applyBorder="1" applyFont="1" applyNumberFormat="1">
      <alignment readingOrder="0" vertical="bottom"/>
    </xf>
    <xf borderId="6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vertical="bottom"/>
    </xf>
    <xf borderId="1" fillId="2" fontId="2" numFmtId="168" xfId="0" applyAlignment="1" applyBorder="1" applyFont="1" applyNumberFormat="1">
      <alignment horizontal="right" readingOrder="0" vertical="bottom"/>
    </xf>
    <xf borderId="0" fillId="2" fontId="1" numFmtId="1" xfId="0" applyAlignment="1" applyFont="1" applyNumberFormat="1">
      <alignment readingOrder="0"/>
    </xf>
    <xf borderId="1" fillId="2" fontId="2" numFmtId="0" xfId="0" applyAlignment="1" applyBorder="1" applyFont="1">
      <alignment vertical="bottom"/>
    </xf>
    <xf borderId="6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readingOrder="0" vertical="center"/>
    </xf>
    <xf borderId="1" fillId="0" fontId="1" numFmtId="168" xfId="0" applyBorder="1" applyFont="1" applyNumberFormat="1"/>
    <xf borderId="1" fillId="0" fontId="1" numFmtId="168" xfId="0" applyAlignment="1" applyBorder="1" applyFont="1" applyNumberFormat="1">
      <alignment readingOrder="0" vertical="center"/>
    </xf>
    <xf borderId="2" fillId="0" fontId="1" numFmtId="168" xfId="0" applyAlignment="1" applyBorder="1" applyFont="1" applyNumberFormat="1">
      <alignment readingOrder="0" vertical="center"/>
    </xf>
    <xf borderId="1" fillId="2" fontId="1" numFmtId="168" xfId="0" applyAlignment="1" applyBorder="1" applyFont="1" applyNumberFormat="1">
      <alignment readingOrder="0" vertical="center"/>
    </xf>
    <xf borderId="1" fillId="2" fontId="1" numFmtId="168" xfId="0" applyAlignment="1" applyBorder="1" applyFont="1" applyNumberFormat="1">
      <alignment readingOrder="0"/>
    </xf>
    <xf borderId="2" fillId="3" fontId="2" numFmtId="0" xfId="0" applyAlignment="1" applyBorder="1" applyFont="1">
      <alignment horizontal="left" vertical="center"/>
    </xf>
    <xf borderId="2" fillId="3" fontId="1" numFmtId="168" xfId="0" applyAlignment="1" applyBorder="1" applyFont="1" applyNumberForma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0" fillId="0" fontId="8" numFmtId="0" xfId="0" applyFont="1"/>
    <xf borderId="1" fillId="3" fontId="15" numFmtId="0" xfId="0" applyAlignment="1" applyBorder="1" applyFont="1">
      <alignment horizontal="left" vertical="center"/>
    </xf>
    <xf borderId="1" fillId="3" fontId="15" numFmtId="165" xfId="0" applyAlignment="1" applyBorder="1" applyFont="1" applyNumberFormat="1">
      <alignment horizontal="left" readingOrder="0" vertical="center"/>
    </xf>
    <xf borderId="1" fillId="0" fontId="15" numFmtId="0" xfId="0" applyAlignment="1" applyBorder="1" applyFont="1">
      <alignment horizontal="left" vertical="center"/>
    </xf>
    <xf borderId="1" fillId="2" fontId="16" numFmtId="0" xfId="0" applyBorder="1" applyFont="1"/>
    <xf borderId="2" fillId="0" fontId="15" numFmtId="165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horizontal="left" readingOrder="0"/>
    </xf>
    <xf borderId="2" fillId="0" fontId="16" numFmtId="168" xfId="0" applyAlignment="1" applyBorder="1" applyFont="1" applyNumberFormat="1">
      <alignment readingOrder="0"/>
    </xf>
    <xf borderId="2" fillId="4" fontId="16" numFmtId="168" xfId="0" applyAlignment="1" applyBorder="1" applyFont="1" applyNumberFormat="1">
      <alignment readingOrder="0"/>
    </xf>
    <xf borderId="1" fillId="4" fontId="16" numFmtId="0" xfId="0" applyAlignment="1" applyBorder="1" applyFont="1">
      <alignment readingOrder="0"/>
    </xf>
    <xf borderId="2" fillId="3" fontId="16" numFmtId="168" xfId="0" applyAlignment="1" applyBorder="1" applyFont="1" applyNumberFormat="1">
      <alignment readingOrder="0" vertical="center"/>
    </xf>
    <xf borderId="4" fillId="3" fontId="16" numFmtId="168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2" fillId="0" fontId="1" numFmtId="166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readingOrder="0" vertical="center"/>
    </xf>
    <xf borderId="1" fillId="0" fontId="16" numFmtId="0" xfId="0" applyAlignment="1" applyBorder="1" applyFont="1">
      <alignment readingOrder="0" vertical="center"/>
    </xf>
    <xf borderId="1" fillId="3" fontId="1" numFmtId="0" xfId="0" applyAlignment="1" applyBorder="1" applyFont="1">
      <alignment horizontal="left" readingOrder="0" vertical="center"/>
    </xf>
    <xf borderId="1" fillId="3" fontId="1" numFmtId="165" xfId="0" applyAlignment="1" applyBorder="1" applyFont="1" applyNumberFormat="1">
      <alignment horizontal="left" readingOrder="0" vertical="center"/>
    </xf>
    <xf borderId="1" fillId="3" fontId="1" numFmtId="168" xfId="0" applyAlignment="1" applyBorder="1" applyFont="1" applyNumberFormat="1">
      <alignment readingOrder="0"/>
    </xf>
    <xf borderId="0" fillId="3" fontId="1" numFmtId="0" xfId="0" applyAlignment="1" applyFont="1">
      <alignment horizontal="left" readingOrder="0"/>
    </xf>
    <xf borderId="1" fillId="0" fontId="1" numFmtId="166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vertical="center"/>
    </xf>
    <xf borderId="1" fillId="0" fontId="2" numFmtId="165" xfId="0" applyAlignment="1" applyBorder="1" applyFont="1" applyNumberFormat="1">
      <alignment horizontal="left" vertical="center"/>
    </xf>
    <xf borderId="1" fillId="4" fontId="2" numFmtId="0" xfId="0" applyAlignment="1" applyBorder="1" applyFont="1">
      <alignment vertical="center"/>
    </xf>
    <xf borderId="2" fillId="4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166" xfId="0" applyAlignment="1" applyFont="1" applyNumberFormat="1">
      <alignment vertical="center"/>
    </xf>
    <xf borderId="0" fillId="0" fontId="1" numFmtId="168" xfId="0" applyFont="1" applyNumberFormat="1"/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18" numFmtId="1" xfId="0" applyAlignment="1" applyFont="1" applyNumberFormat="1">
      <alignment horizontal="center" readingOrder="0" vertical="center"/>
    </xf>
    <xf borderId="0" fillId="8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left" vertical="bottom"/>
    </xf>
    <xf borderId="0" fillId="0" fontId="2" numFmtId="168" xfId="0" applyAlignment="1" applyFont="1" applyNumberFormat="1">
      <alignment horizontal="left" vertical="bottom"/>
    </xf>
    <xf borderId="0" fillId="0" fontId="1" numFmtId="1" xfId="0" applyFont="1" applyNumberFormat="1"/>
    <xf borderId="0" fillId="0" fontId="1" numFmtId="0" xfId="0" applyFont="1"/>
    <xf borderId="0" fillId="0" fontId="2" numFmtId="168" xfId="0" applyAlignment="1" applyFont="1" applyNumberFormat="1">
      <alignment horizontal="left" readingOrder="0" vertical="bottom"/>
    </xf>
    <xf borderId="0" fillId="0" fontId="19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readingOrder="0" vertical="bottom"/>
    </xf>
    <xf borderId="0" fillId="4" fontId="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1" fillId="4" fontId="1" numFmtId="0" xfId="0" applyAlignment="1" applyBorder="1" applyFont="1">
      <alignment horizontal="left" readingOrder="0"/>
    </xf>
    <xf borderId="1" fillId="3" fontId="1" numFmtId="0" xfId="0" applyBorder="1" applyFont="1"/>
    <xf borderId="1" fillId="4" fontId="1" numFmtId="0" xfId="0" applyAlignment="1" applyBorder="1" applyFont="1">
      <alignment horizontal="left"/>
    </xf>
    <xf borderId="0" fillId="9" fontId="1" numFmtId="0" xfId="0" applyAlignment="1" applyFill="1" applyFont="1">
      <alignment readingOrder="0"/>
    </xf>
    <xf borderId="1" fillId="4" fontId="1" numFmtId="165" xfId="0" applyAlignment="1" applyBorder="1" applyFont="1" applyNumberFormat="1">
      <alignment horizontal="left" readingOrder="0"/>
    </xf>
    <xf borderId="1" fillId="0" fontId="1" numFmtId="0" xfId="0" applyBorder="1" applyFont="1"/>
    <xf borderId="0" fillId="4" fontId="1" numFmtId="0" xfId="0" applyAlignment="1" applyFont="1">
      <alignment horizontal="left"/>
    </xf>
    <xf borderId="5" fillId="0" fontId="20" numFmtId="168" xfId="0" applyAlignment="1" applyBorder="1" applyFont="1" applyNumberFormat="1">
      <alignment horizontal="left" readingOrder="0"/>
    </xf>
    <xf borderId="2" fillId="0" fontId="21" numFmtId="168" xfId="0" applyAlignment="1" applyBorder="1" applyFont="1" applyNumberFormat="1">
      <alignment horizontal="left" readingOrder="0" vertical="center"/>
    </xf>
    <xf borderId="2" fillId="0" fontId="21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2" fillId="0" fontId="21" numFmtId="3" xfId="0" applyAlignment="1" applyBorder="1" applyFont="1" applyNumberFormat="1">
      <alignment horizontal="center" readingOrder="0" vertical="center"/>
    </xf>
    <xf borderId="1" fillId="0" fontId="22" numFmtId="0" xfId="0" applyAlignment="1" applyBorder="1" applyFont="1">
      <alignment horizontal="center" readingOrder="0" vertical="center"/>
    </xf>
    <xf borderId="1" fillId="0" fontId="1" numFmtId="168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right"/>
    </xf>
    <xf borderId="1" fillId="0" fontId="1" numFmtId="3" xfId="0" applyBorder="1" applyFont="1" applyNumberFormat="1"/>
    <xf borderId="2" fillId="0" fontId="1" numFmtId="168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right" readingOrder="0"/>
    </xf>
    <xf borderId="1" fillId="0" fontId="1" numFmtId="168" xfId="0" applyAlignment="1" applyBorder="1" applyFont="1" applyNumberFormat="1">
      <alignment horizontal="left"/>
    </xf>
    <xf quotePrefix="1" borderId="1" fillId="0" fontId="1" numFmtId="0" xfId="0" applyAlignment="1" applyBorder="1" applyFont="1">
      <alignment horizontal="right" readingOrder="0"/>
    </xf>
    <xf borderId="0" fillId="4" fontId="23" numFmtId="0" xfId="0" applyAlignment="1" applyFont="1">
      <alignment readingOrder="0"/>
    </xf>
    <xf borderId="0" fillId="0" fontId="1" numFmtId="168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3" xfId="0" applyFont="1" applyNumberFormat="1"/>
    <xf borderId="5" fillId="0" fontId="24" numFmtId="0" xfId="0" applyAlignment="1" applyBorder="1" applyFont="1">
      <alignment horizontal="center" readingOrder="0"/>
    </xf>
    <xf borderId="5" fillId="4" fontId="25" numFmtId="0" xfId="0" applyAlignment="1" applyBorder="1" applyFont="1">
      <alignment horizontal="center" readingOrder="0"/>
    </xf>
    <xf borderId="0" fillId="4" fontId="1" numFmtId="0" xfId="0" applyAlignment="1" applyFont="1">
      <alignment horizontal="center" readingOrder="0"/>
    </xf>
    <xf borderId="1" fillId="4" fontId="1" numFmtId="0" xfId="0" applyBorder="1" applyFont="1"/>
    <xf borderId="0" fillId="4" fontId="1" numFmtId="0" xfId="0" applyAlignment="1" applyFont="1">
      <alignment readingOrder="0"/>
    </xf>
    <xf borderId="1" fillId="3" fontId="1" numFmtId="169" xfId="0" applyAlignment="1" applyBorder="1" applyFont="1" applyNumberFormat="1">
      <alignment readingOrder="0"/>
    </xf>
    <xf borderId="1" fillId="0" fontId="1" numFmtId="169" xfId="0" applyAlignment="1" applyBorder="1" applyFont="1" applyNumberFormat="1">
      <alignment readingOrder="0"/>
    </xf>
    <xf borderId="1" fillId="4" fontId="1" numFmtId="169" xfId="0" applyAlignment="1" applyBorder="1" applyFont="1" applyNumberFormat="1">
      <alignment readingOrder="0"/>
    </xf>
    <xf borderId="1" fillId="6" fontId="1" numFmtId="169" xfId="0" applyAlignment="1" applyBorder="1" applyFont="1" applyNumberFormat="1">
      <alignment readingOrder="0"/>
    </xf>
    <xf borderId="1" fillId="10" fontId="1" numFmtId="169" xfId="0" applyAlignment="1" applyBorder="1" applyFill="1" applyFont="1" applyNumberFormat="1">
      <alignment readingOrder="0"/>
    </xf>
    <xf borderId="1" fillId="10" fontId="1" numFmtId="0" xfId="0" applyBorder="1" applyFont="1"/>
    <xf borderId="1" fillId="6" fontId="1" numFmtId="0" xfId="0" applyBorder="1" applyFont="1"/>
    <xf borderId="1" fillId="6" fontId="1" numFmtId="166" xfId="0" applyAlignment="1" applyBorder="1" applyFont="1" applyNumberFormat="1">
      <alignment readingOrder="0"/>
    </xf>
    <xf borderId="1" fillId="4" fontId="1" numFmtId="166" xfId="0" applyAlignment="1" applyBorder="1" applyFont="1" applyNumberFormat="1">
      <alignment readingOrder="0"/>
    </xf>
    <xf borderId="1" fillId="8" fontId="1" numFmtId="169" xfId="0" applyAlignment="1" applyBorder="1" applyFont="1" applyNumberFormat="1">
      <alignment readingOrder="0"/>
    </xf>
    <xf borderId="1" fillId="8" fontId="1" numFmtId="0" xfId="0" applyAlignment="1" applyBorder="1" applyFont="1">
      <alignment readingOrder="0"/>
    </xf>
    <xf borderId="5" fillId="8" fontId="1" numFmtId="169" xfId="0" applyAlignment="1" applyBorder="1" applyFont="1" applyNumberFormat="1">
      <alignment readingOrder="0"/>
    </xf>
    <xf borderId="1" fillId="8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t.me/noahtechltd" TargetMode="External"/><Relationship Id="rId3" Type="http://schemas.openxmlformats.org/officeDocument/2006/relationships/hyperlink" Target="https://t.me/dmtechcs" TargetMode="External"/><Relationship Id="rId4" Type="http://schemas.openxmlformats.org/officeDocument/2006/relationships/hyperlink" Target="https://t.me/psg3_0" TargetMode="External"/><Relationship Id="rId5" Type="http://schemas.openxmlformats.org/officeDocument/2006/relationships/hyperlink" Target="https://t.me/dmtechrd" TargetMode="External"/><Relationship Id="rId6" Type="http://schemas.openxmlformats.org/officeDocument/2006/relationships/hyperlink" Target="https://t.me/dmtechprovider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Jj63gogpfhhODBWF1KH7SMl5RP4YIujP7LQlIpIkslQ/edit?gid=1707432476" TargetMode="External"/><Relationship Id="rId10" Type="http://schemas.openxmlformats.org/officeDocument/2006/relationships/hyperlink" Target="https://docs.google.com/spreadsheets/d/1Jj63gogpfhhODBWF1KH7SMl5RP4YIujP7LQlIpIkslQ/edit?gid=1707432476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docs.google.com/spreadsheets/d/1Jj63gogpfhhODBWF1KH7SMl5RP4YIujP7LQlIpIkslQ/edit?usp=sharing" TargetMode="External"/><Relationship Id="rId1" Type="http://schemas.openxmlformats.org/officeDocument/2006/relationships/hyperlink" Target="https://docs.google.com/spreadsheets/d/1Jj63gogpfhhODBWF1KH7SMl5RP4YIujP7LQlIpIkslQ/edit?gid=1707432476" TargetMode="External"/><Relationship Id="rId2" Type="http://schemas.openxmlformats.org/officeDocument/2006/relationships/hyperlink" Target="https://docs.google.com/spreadsheets/d/1Jj63gogpfhhODBWF1KH7SMl5RP4YIujP7LQlIpIkslQ/edit?gid=1707432476" TargetMode="External"/><Relationship Id="rId3" Type="http://schemas.openxmlformats.org/officeDocument/2006/relationships/hyperlink" Target="https://docs.google.com/spreadsheets/d/1Jj63gogpfhhODBWF1KH7SMl5RP4YIujP7LQlIpIkslQ/edit?gid=1707432476" TargetMode="External"/><Relationship Id="rId4" Type="http://schemas.openxmlformats.org/officeDocument/2006/relationships/hyperlink" Target="https://docs.google.com/spreadsheets/d/1Jj63gogpfhhODBWF1KH7SMl5RP4YIujP7LQlIpIkslQ/edit?gid=1707432476" TargetMode="External"/><Relationship Id="rId9" Type="http://schemas.openxmlformats.org/officeDocument/2006/relationships/hyperlink" Target="https://docs.google.com/spreadsheets/d/1Jj63gogpfhhODBWF1KH7SMl5RP4YIujP7LQlIpIkslQ/edit?gid=1707432476" TargetMode="External"/><Relationship Id="rId5" Type="http://schemas.openxmlformats.org/officeDocument/2006/relationships/hyperlink" Target="https://docs.google.com/spreadsheets/d/1Jj63gogpfhhODBWF1KH7SMl5RP4YIujP7LQlIpIkslQ/edit?gid=1707432476" TargetMode="External"/><Relationship Id="rId6" Type="http://schemas.openxmlformats.org/officeDocument/2006/relationships/hyperlink" Target="https://docs.google.com/spreadsheets/d/1Jj63gogpfhhODBWF1KH7SMl5RP4YIujP7LQlIpIkslQ/edit?gid=1707432476" TargetMode="External"/><Relationship Id="rId7" Type="http://schemas.openxmlformats.org/officeDocument/2006/relationships/hyperlink" Target="https://docs.google.com/spreadsheets/d/1Jj63gogpfhhODBWF1KH7SMl5RP4YIujP7LQlIpIkslQ/edit?gid=1707432476" TargetMode="External"/><Relationship Id="rId8" Type="http://schemas.openxmlformats.org/officeDocument/2006/relationships/hyperlink" Target="https://docs.google.com/spreadsheets/d/1Jj63gogpfhhODBWF1KH7SMl5RP4YIujP7LQlIpIkslQ/edit?gid=1707432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8.13"/>
    <col customWidth="1" min="3" max="3" width="108.13"/>
    <col customWidth="1" min="4" max="4" width="12.88"/>
    <col customWidth="1" min="5" max="5" width="12.63"/>
    <col customWidth="1" min="6" max="6" width="34.25"/>
    <col customWidth="1" min="7" max="7" width="15.75"/>
    <col customWidth="1" min="8" max="8" width="3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8</v>
      </c>
      <c r="B2" s="1" t="s">
        <v>9</v>
      </c>
      <c r="C2" s="5" t="s">
        <v>10</v>
      </c>
      <c r="D2" s="2"/>
      <c r="E2" s="2"/>
      <c r="F2" s="5" t="s">
        <v>11</v>
      </c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 t="s">
        <v>12</v>
      </c>
      <c r="B3" s="1" t="s">
        <v>9</v>
      </c>
      <c r="C3" s="5" t="s">
        <v>13</v>
      </c>
      <c r="D3" s="2"/>
      <c r="E3" s="2"/>
      <c r="F3" s="5" t="s">
        <v>14</v>
      </c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 t="s">
        <v>15</v>
      </c>
      <c r="B4" s="1" t="s">
        <v>16</v>
      </c>
      <c r="C4" s="6" t="s">
        <v>17</v>
      </c>
      <c r="D4" s="5" t="s">
        <v>18</v>
      </c>
      <c r="E4" s="2"/>
      <c r="F4" s="5" t="s">
        <v>19</v>
      </c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 t="s">
        <v>15</v>
      </c>
      <c r="B5" s="1" t="s">
        <v>16</v>
      </c>
      <c r="C5" s="6" t="s">
        <v>20</v>
      </c>
      <c r="D5" s="5" t="s">
        <v>21</v>
      </c>
      <c r="E5" s="2"/>
      <c r="F5" s="5" t="s">
        <v>22</v>
      </c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 t="s">
        <v>15</v>
      </c>
      <c r="B6" s="1" t="s">
        <v>16</v>
      </c>
      <c r="C6" s="7" t="s">
        <v>23</v>
      </c>
      <c r="D6" s="5" t="s">
        <v>24</v>
      </c>
      <c r="E6" s="2"/>
      <c r="F6" s="5" t="s">
        <v>25</v>
      </c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 t="s">
        <v>15</v>
      </c>
      <c r="B7" s="1" t="s">
        <v>26</v>
      </c>
      <c r="C7" s="8" t="s">
        <v>27</v>
      </c>
      <c r="D7" s="5" t="s">
        <v>28</v>
      </c>
      <c r="E7" s="2"/>
      <c r="F7" s="5" t="s">
        <v>29</v>
      </c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 t="s">
        <v>15</v>
      </c>
      <c r="B8" s="1"/>
      <c r="C8" s="8" t="s">
        <v>30</v>
      </c>
      <c r="D8" s="5" t="s">
        <v>31</v>
      </c>
      <c r="E8" s="2"/>
      <c r="F8" s="5" t="s">
        <v>32</v>
      </c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 t="s">
        <v>33</v>
      </c>
      <c r="B9" s="1"/>
      <c r="C9" s="9" t="s">
        <v>34</v>
      </c>
      <c r="D9" s="5"/>
      <c r="E9" s="2"/>
      <c r="F9" s="5"/>
      <c r="G9" s="2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" t="s">
        <v>35</v>
      </c>
      <c r="B10" s="1" t="s">
        <v>36</v>
      </c>
      <c r="C10" s="9" t="s">
        <v>37</v>
      </c>
      <c r="D10" s="5" t="s">
        <v>38</v>
      </c>
      <c r="E10" s="2"/>
      <c r="F10" s="5" t="s">
        <v>39</v>
      </c>
      <c r="G10" s="2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 t="s">
        <v>40</v>
      </c>
      <c r="B11" s="1" t="s">
        <v>36</v>
      </c>
      <c r="C11" s="9" t="s">
        <v>41</v>
      </c>
      <c r="D11" s="5" t="s">
        <v>38</v>
      </c>
      <c r="E11" s="2"/>
      <c r="F11" s="5" t="s">
        <v>42</v>
      </c>
      <c r="G11" s="2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 t="s">
        <v>43</v>
      </c>
      <c r="B12" s="1" t="s">
        <v>36</v>
      </c>
      <c r="C12" s="9" t="s">
        <v>44</v>
      </c>
      <c r="D12" s="5" t="s">
        <v>38</v>
      </c>
      <c r="E12" s="2"/>
      <c r="F12" s="5"/>
      <c r="G12" s="2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" t="s">
        <v>45</v>
      </c>
      <c r="B13" s="1" t="s">
        <v>36</v>
      </c>
      <c r="C13" s="10" t="s">
        <v>46</v>
      </c>
      <c r="D13" s="5"/>
      <c r="E13" s="2"/>
      <c r="F13" s="5" t="s">
        <v>47</v>
      </c>
      <c r="G13" s="2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 t="s">
        <v>45</v>
      </c>
      <c r="B14" s="1" t="s">
        <v>36</v>
      </c>
      <c r="C14" s="10" t="s">
        <v>48</v>
      </c>
      <c r="D14" s="5"/>
      <c r="E14" s="2"/>
      <c r="F14" s="5"/>
      <c r="G14" s="2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 t="s">
        <v>49</v>
      </c>
      <c r="B15" s="1" t="s">
        <v>36</v>
      </c>
      <c r="C15" s="10" t="s">
        <v>50</v>
      </c>
      <c r="D15" s="5" t="s">
        <v>38</v>
      </c>
      <c r="E15" s="2"/>
      <c r="F15" s="5"/>
      <c r="G15" s="2"/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" t="s">
        <v>51</v>
      </c>
      <c r="B16" s="1" t="s">
        <v>36</v>
      </c>
      <c r="C16" s="10" t="s">
        <v>52</v>
      </c>
      <c r="D16" s="5" t="s">
        <v>18</v>
      </c>
      <c r="E16" s="2"/>
      <c r="F16" s="5" t="s">
        <v>53</v>
      </c>
      <c r="G16" s="2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1" t="s">
        <v>54</v>
      </c>
      <c r="B17" s="12">
        <v>70288.0</v>
      </c>
      <c r="C17" s="13" t="s">
        <v>55</v>
      </c>
      <c r="D17" s="14" t="s">
        <v>56</v>
      </c>
      <c r="E17" s="15">
        <v>44099.0</v>
      </c>
      <c r="F17" s="11" t="s">
        <v>57</v>
      </c>
      <c r="G17" s="15">
        <v>44111.0</v>
      </c>
      <c r="H17" s="16" t="s">
        <v>58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18"/>
      <c r="B18" s="18"/>
      <c r="C18" s="18"/>
      <c r="D18" s="19" t="s">
        <v>59</v>
      </c>
      <c r="E18" s="20">
        <v>44111.0</v>
      </c>
      <c r="F18" s="18"/>
      <c r="G18" s="21">
        <v>44673.0</v>
      </c>
      <c r="H18" s="18"/>
    </row>
    <row r="19">
      <c r="A19" s="18"/>
      <c r="B19" s="18"/>
      <c r="C19" s="18"/>
      <c r="D19" s="19" t="s">
        <v>60</v>
      </c>
      <c r="E19" s="21">
        <v>44673.0</v>
      </c>
      <c r="F19" s="18"/>
      <c r="G19" s="21">
        <v>45077.0</v>
      </c>
      <c r="H19" s="18"/>
    </row>
    <row r="20">
      <c r="A20" s="18"/>
      <c r="B20" s="18"/>
      <c r="C20" s="18"/>
      <c r="D20" s="19" t="s">
        <v>61</v>
      </c>
      <c r="E20" s="21">
        <v>45089.0</v>
      </c>
      <c r="F20" s="18"/>
      <c r="G20" s="21">
        <v>45230.0</v>
      </c>
      <c r="H20" s="18"/>
    </row>
    <row r="21">
      <c r="A21" s="18"/>
      <c r="B21" s="18"/>
      <c r="C21" s="18"/>
      <c r="D21" s="19" t="s">
        <v>62</v>
      </c>
      <c r="E21" s="21">
        <v>45230.0</v>
      </c>
      <c r="F21" s="18"/>
      <c r="G21" s="21">
        <v>45267.0</v>
      </c>
      <c r="H21" s="18"/>
    </row>
    <row r="22">
      <c r="A22" s="18"/>
      <c r="B22" s="18"/>
      <c r="C22" s="18"/>
      <c r="D22" s="19" t="s">
        <v>63</v>
      </c>
      <c r="E22" s="21">
        <v>45279.0</v>
      </c>
      <c r="F22" s="18"/>
      <c r="G22" s="21">
        <v>45538.0</v>
      </c>
      <c r="H22" s="18"/>
    </row>
    <row r="23">
      <c r="A23" s="18"/>
      <c r="B23" s="18"/>
      <c r="C23" s="18"/>
      <c r="D23" s="19" t="s">
        <v>64</v>
      </c>
      <c r="E23" s="20">
        <v>45540.0</v>
      </c>
      <c r="F23" s="18"/>
      <c r="G23" s="21">
        <v>45603.0</v>
      </c>
      <c r="H23" s="18"/>
    </row>
    <row r="24">
      <c r="A24" s="18"/>
      <c r="B24" s="18"/>
      <c r="C24" s="18"/>
      <c r="D24" s="19" t="s">
        <v>65</v>
      </c>
      <c r="E24" s="20">
        <v>45608.0</v>
      </c>
      <c r="F24" s="18"/>
      <c r="G24" s="21">
        <v>45609.0</v>
      </c>
      <c r="H24" s="18"/>
    </row>
    <row r="25">
      <c r="A25" s="18"/>
      <c r="B25" s="18"/>
      <c r="C25" s="18"/>
      <c r="D25" s="19" t="s">
        <v>66</v>
      </c>
      <c r="E25" s="20">
        <v>45610.0</v>
      </c>
      <c r="F25" s="18"/>
      <c r="G25" s="20">
        <v>45862.0</v>
      </c>
      <c r="H25" s="18"/>
    </row>
    <row r="26">
      <c r="A26" s="22"/>
      <c r="B26" s="22"/>
      <c r="C26" s="22"/>
      <c r="D26" s="23" t="s">
        <v>67</v>
      </c>
      <c r="E26" s="24">
        <v>45870.0</v>
      </c>
      <c r="F26" s="22"/>
      <c r="G26" s="24">
        <v>45938.0</v>
      </c>
      <c r="H26" s="22"/>
    </row>
    <row r="27">
      <c r="A27" s="25" t="s">
        <v>54</v>
      </c>
      <c r="B27" s="26">
        <v>78000.0</v>
      </c>
      <c r="C27" s="27" t="s">
        <v>68</v>
      </c>
      <c r="D27" s="25" t="s">
        <v>69</v>
      </c>
      <c r="E27" s="28">
        <v>44100.0</v>
      </c>
      <c r="F27" s="23" t="s">
        <v>70</v>
      </c>
      <c r="G27" s="29">
        <v>44557.0</v>
      </c>
      <c r="H27" s="23" t="s">
        <v>71</v>
      </c>
    </row>
    <row r="28">
      <c r="A28" s="30" t="s">
        <v>54</v>
      </c>
      <c r="B28" s="31">
        <v>71668.0</v>
      </c>
      <c r="C28" s="30" t="s">
        <v>72</v>
      </c>
      <c r="D28" s="25" t="s">
        <v>73</v>
      </c>
      <c r="E28" s="32">
        <v>44100.0</v>
      </c>
      <c r="F28" s="23" t="s">
        <v>74</v>
      </c>
      <c r="G28" s="33" t="s">
        <v>9</v>
      </c>
      <c r="H28" s="23" t="s">
        <v>74</v>
      </c>
    </row>
    <row r="29">
      <c r="A29" s="34" t="s">
        <v>54</v>
      </c>
      <c r="B29" s="35">
        <v>71669.0</v>
      </c>
      <c r="C29" s="34" t="s">
        <v>72</v>
      </c>
      <c r="D29" s="36" t="s">
        <v>75</v>
      </c>
      <c r="E29" s="37">
        <v>44100.0</v>
      </c>
      <c r="F29" s="38"/>
      <c r="G29" s="21">
        <v>45293.0</v>
      </c>
      <c r="H29" s="39"/>
    </row>
    <row r="30">
      <c r="A30" s="22"/>
      <c r="B30" s="22"/>
      <c r="C30" s="22"/>
      <c r="D30" s="31" t="s">
        <v>76</v>
      </c>
      <c r="E30" s="40">
        <v>45461.0</v>
      </c>
      <c r="F30" s="22"/>
      <c r="G30" s="29">
        <v>45831.0</v>
      </c>
      <c r="H30" s="23" t="s">
        <v>77</v>
      </c>
    </row>
    <row r="31">
      <c r="A31" s="34" t="s">
        <v>54</v>
      </c>
      <c r="B31" s="35">
        <v>62888.0</v>
      </c>
      <c r="C31" s="41" t="s">
        <v>78</v>
      </c>
      <c r="D31" s="36" t="s">
        <v>79</v>
      </c>
      <c r="E31" s="42">
        <v>44102.0</v>
      </c>
      <c r="F31" s="12" t="s">
        <v>80</v>
      </c>
      <c r="G31" s="21">
        <v>44699.0</v>
      </c>
      <c r="H31" s="43"/>
    </row>
    <row r="32">
      <c r="A32" s="18"/>
      <c r="B32" s="18"/>
      <c r="C32" s="18"/>
      <c r="D32" s="44" t="s">
        <v>81</v>
      </c>
      <c r="E32" s="45">
        <v>44699.0</v>
      </c>
      <c r="F32" s="18"/>
      <c r="G32" s="21">
        <v>45293.0</v>
      </c>
      <c r="H32" s="43"/>
    </row>
    <row r="33">
      <c r="A33" s="18"/>
      <c r="B33" s="18"/>
      <c r="C33" s="18"/>
      <c r="D33" s="44" t="s">
        <v>76</v>
      </c>
      <c r="E33" s="45">
        <v>45323.0</v>
      </c>
      <c r="F33" s="18"/>
      <c r="G33" s="21">
        <v>45461.0</v>
      </c>
      <c r="H33" s="43"/>
    </row>
    <row r="34">
      <c r="A34" s="18"/>
      <c r="B34" s="18"/>
      <c r="C34" s="18"/>
      <c r="D34" s="31" t="s">
        <v>82</v>
      </c>
      <c r="E34" s="46">
        <v>45491.0</v>
      </c>
      <c r="F34" s="18"/>
      <c r="G34" s="29">
        <v>45832.0</v>
      </c>
      <c r="H34" s="23" t="s">
        <v>83</v>
      </c>
    </row>
    <row r="35">
      <c r="A35" s="12" t="s">
        <v>54</v>
      </c>
      <c r="B35" s="12">
        <v>70288.0</v>
      </c>
      <c r="C35" s="12" t="s">
        <v>55</v>
      </c>
      <c r="D35" s="19" t="s">
        <v>84</v>
      </c>
      <c r="E35" s="20">
        <v>44200.0</v>
      </c>
      <c r="F35" s="12" t="s">
        <v>57</v>
      </c>
      <c r="G35" s="20">
        <v>44232.0</v>
      </c>
      <c r="H35" s="12" t="s">
        <v>85</v>
      </c>
    </row>
    <row r="36">
      <c r="A36" s="18"/>
      <c r="B36" s="18"/>
      <c r="C36" s="18"/>
      <c r="D36" s="19" t="s">
        <v>86</v>
      </c>
      <c r="E36" s="20">
        <v>44247.0</v>
      </c>
      <c r="F36" s="18"/>
      <c r="G36" s="21">
        <v>45048.0</v>
      </c>
      <c r="H36" s="18"/>
    </row>
    <row r="37">
      <c r="A37" s="18"/>
      <c r="B37" s="18"/>
      <c r="C37" s="18"/>
      <c r="D37" s="19" t="s">
        <v>87</v>
      </c>
      <c r="E37" s="20">
        <v>45048.0</v>
      </c>
      <c r="F37" s="18"/>
      <c r="G37" s="21">
        <v>45097.0</v>
      </c>
      <c r="H37" s="18"/>
    </row>
    <row r="38">
      <c r="A38" s="18"/>
      <c r="B38" s="18"/>
      <c r="C38" s="18"/>
      <c r="D38" s="19" t="s">
        <v>88</v>
      </c>
      <c r="E38" s="20">
        <v>45169.0</v>
      </c>
      <c r="F38" s="18"/>
      <c r="G38" s="21">
        <v>45513.0</v>
      </c>
      <c r="H38" s="18"/>
    </row>
    <row r="39">
      <c r="A39" s="18"/>
      <c r="B39" s="18"/>
      <c r="C39" s="18"/>
      <c r="D39" s="19" t="s">
        <v>64</v>
      </c>
      <c r="E39" s="20">
        <v>45537.0</v>
      </c>
      <c r="F39" s="18"/>
      <c r="G39" s="21">
        <v>45540.0</v>
      </c>
      <c r="H39" s="18"/>
    </row>
    <row r="40">
      <c r="A40" s="18"/>
      <c r="B40" s="18"/>
      <c r="C40" s="18"/>
      <c r="D40" s="19" t="s">
        <v>89</v>
      </c>
      <c r="E40" s="20">
        <v>45561.0</v>
      </c>
      <c r="F40" s="18"/>
      <c r="G40" s="21">
        <v>45833.0</v>
      </c>
      <c r="H40" s="18"/>
    </row>
    <row r="41">
      <c r="A41" s="18"/>
      <c r="B41" s="18"/>
      <c r="C41" s="18"/>
      <c r="D41" s="19" t="s">
        <v>90</v>
      </c>
      <c r="E41" s="20">
        <v>45839.0</v>
      </c>
      <c r="F41" s="18"/>
      <c r="G41" s="21">
        <v>45863.0</v>
      </c>
      <c r="H41" s="18"/>
    </row>
    <row r="42">
      <c r="A42" s="22"/>
      <c r="B42" s="22"/>
      <c r="C42" s="22"/>
      <c r="D42" s="23" t="s">
        <v>91</v>
      </c>
      <c r="E42" s="24">
        <v>45875.0</v>
      </c>
      <c r="F42" s="22"/>
      <c r="G42" s="29">
        <v>45938.0</v>
      </c>
      <c r="H42" s="22"/>
    </row>
    <row r="43">
      <c r="A43" s="47" t="s">
        <v>54</v>
      </c>
      <c r="B43" s="47">
        <v>70288.0</v>
      </c>
      <c r="C43" s="47" t="s">
        <v>55</v>
      </c>
      <c r="D43" s="48" t="s">
        <v>92</v>
      </c>
      <c r="E43" s="45">
        <v>44214.0</v>
      </c>
      <c r="F43" s="49" t="s">
        <v>57</v>
      </c>
      <c r="G43" s="21">
        <v>45175.0</v>
      </c>
      <c r="H43" s="39"/>
    </row>
    <row r="44">
      <c r="A44" s="22"/>
      <c r="B44" s="22"/>
      <c r="C44" s="22"/>
      <c r="D44" s="26" t="s">
        <v>93</v>
      </c>
      <c r="E44" s="46">
        <v>45176.0</v>
      </c>
      <c r="F44" s="50" t="s">
        <v>94</v>
      </c>
      <c r="G44" s="29">
        <v>45414.0</v>
      </c>
      <c r="H44" s="23" t="s">
        <v>95</v>
      </c>
    </row>
    <row r="45">
      <c r="A45" s="47" t="s">
        <v>54</v>
      </c>
      <c r="B45" s="51">
        <v>56888.0</v>
      </c>
      <c r="C45" s="52" t="s">
        <v>55</v>
      </c>
      <c r="D45" s="48" t="s">
        <v>96</v>
      </c>
      <c r="E45" s="45">
        <v>44228.0</v>
      </c>
      <c r="F45" s="12" t="s">
        <v>57</v>
      </c>
      <c r="G45" s="21">
        <v>45888.0</v>
      </c>
      <c r="H45" s="53" t="s">
        <v>97</v>
      </c>
    </row>
    <row r="46">
      <c r="A46" s="22"/>
      <c r="B46" s="22"/>
      <c r="C46" s="22"/>
      <c r="D46" s="26" t="s">
        <v>64</v>
      </c>
      <c r="E46" s="46">
        <v>45894.0</v>
      </c>
      <c r="F46" s="22"/>
      <c r="G46" s="29">
        <v>45908.0</v>
      </c>
      <c r="H46" s="22"/>
    </row>
    <row r="47">
      <c r="A47" s="49" t="s">
        <v>54</v>
      </c>
      <c r="B47" s="49">
        <v>56888.0</v>
      </c>
      <c r="C47" s="49" t="s">
        <v>98</v>
      </c>
      <c r="D47" s="19" t="s">
        <v>99</v>
      </c>
      <c r="E47" s="20">
        <v>44267.0</v>
      </c>
      <c r="F47" s="54" t="s">
        <v>57</v>
      </c>
      <c r="G47" s="21">
        <v>44676.0</v>
      </c>
      <c r="H47" s="39"/>
    </row>
    <row r="48">
      <c r="A48" s="18"/>
      <c r="B48" s="18"/>
      <c r="C48" s="18"/>
      <c r="D48" s="19" t="s">
        <v>100</v>
      </c>
      <c r="E48" s="20">
        <v>44678.0</v>
      </c>
      <c r="F48" s="18"/>
      <c r="G48" s="21">
        <v>45300.0</v>
      </c>
      <c r="H48" s="39"/>
    </row>
    <row r="49">
      <c r="A49" s="18"/>
      <c r="B49" s="18"/>
      <c r="C49" s="18"/>
      <c r="D49" s="19" t="s">
        <v>93</v>
      </c>
      <c r="E49" s="20">
        <v>45412.0</v>
      </c>
      <c r="F49" s="18"/>
      <c r="G49" s="21">
        <v>45616.0</v>
      </c>
      <c r="H49" s="39"/>
    </row>
    <row r="50">
      <c r="A50" s="18"/>
      <c r="B50" s="18"/>
      <c r="C50" s="18"/>
      <c r="D50" s="19" t="s">
        <v>101</v>
      </c>
      <c r="E50" s="20">
        <v>45628.0</v>
      </c>
      <c r="F50" s="18"/>
      <c r="G50" s="21">
        <v>45980.0</v>
      </c>
      <c r="H50" s="39"/>
    </row>
    <row r="51">
      <c r="A51" s="22"/>
      <c r="B51" s="22"/>
      <c r="C51" s="22"/>
      <c r="D51" s="55" t="s">
        <v>102</v>
      </c>
      <c r="E51" s="56">
        <v>45981.0</v>
      </c>
      <c r="F51" s="22"/>
      <c r="G51" s="57"/>
      <c r="H51" s="39"/>
    </row>
    <row r="52">
      <c r="A52" s="12" t="s">
        <v>54</v>
      </c>
      <c r="B52" s="12">
        <v>54688.0</v>
      </c>
      <c r="C52" s="12" t="s">
        <v>103</v>
      </c>
      <c r="D52" s="19" t="s">
        <v>104</v>
      </c>
      <c r="E52" s="20">
        <v>44340.0</v>
      </c>
      <c r="F52" s="12" t="s">
        <v>80</v>
      </c>
      <c r="G52" s="21">
        <v>45196.0</v>
      </c>
      <c r="H52" s="58" t="s">
        <v>105</v>
      </c>
    </row>
    <row r="53">
      <c r="A53" s="18"/>
      <c r="B53" s="18"/>
      <c r="C53" s="18"/>
      <c r="D53" s="19" t="s">
        <v>106</v>
      </c>
      <c r="E53" s="20">
        <v>45201.0</v>
      </c>
      <c r="F53" s="18"/>
      <c r="G53" s="21">
        <v>45664.0</v>
      </c>
      <c r="H53" s="18"/>
    </row>
    <row r="54">
      <c r="A54" s="18"/>
      <c r="B54" s="18"/>
      <c r="C54" s="18"/>
      <c r="D54" s="19" t="s">
        <v>107</v>
      </c>
      <c r="E54" s="20">
        <v>45665.0</v>
      </c>
      <c r="F54" s="18"/>
      <c r="G54" s="21">
        <v>45834.0</v>
      </c>
      <c r="H54" s="18"/>
    </row>
    <row r="55">
      <c r="A55" s="22"/>
      <c r="B55" s="22"/>
      <c r="C55" s="22"/>
      <c r="D55" s="23" t="s">
        <v>108</v>
      </c>
      <c r="E55" s="24">
        <v>45839.0</v>
      </c>
      <c r="F55" s="22"/>
      <c r="G55" s="29">
        <v>45939.0</v>
      </c>
      <c r="H55" s="22"/>
    </row>
    <row r="56">
      <c r="A56" s="49" t="s">
        <v>54</v>
      </c>
      <c r="B56" s="49">
        <v>54688.0</v>
      </c>
      <c r="C56" s="49" t="s">
        <v>103</v>
      </c>
      <c r="D56" s="19" t="s">
        <v>109</v>
      </c>
      <c r="E56" s="20">
        <v>44345.0</v>
      </c>
      <c r="F56" s="54" t="s">
        <v>80</v>
      </c>
      <c r="G56" s="20">
        <v>44412.0</v>
      </c>
      <c r="H56" s="39"/>
    </row>
    <row r="57">
      <c r="A57" s="18"/>
      <c r="B57" s="18"/>
      <c r="C57" s="18"/>
      <c r="D57" s="19" t="s">
        <v>110</v>
      </c>
      <c r="E57" s="20">
        <v>44412.0</v>
      </c>
      <c r="F57" s="18"/>
      <c r="G57" s="21">
        <v>45104.0</v>
      </c>
      <c r="H57" s="39"/>
    </row>
    <row r="58">
      <c r="A58" s="18"/>
      <c r="B58" s="18"/>
      <c r="C58" s="18"/>
      <c r="D58" s="19" t="s">
        <v>111</v>
      </c>
      <c r="E58" s="21">
        <v>45175.0</v>
      </c>
      <c r="F58" s="18"/>
      <c r="G58" s="21">
        <v>45702.0</v>
      </c>
      <c r="H58" s="39"/>
    </row>
    <row r="59">
      <c r="A59" s="22"/>
      <c r="B59" s="22"/>
      <c r="C59" s="22"/>
      <c r="D59" s="55" t="s">
        <v>112</v>
      </c>
      <c r="E59" s="59">
        <v>45733.0</v>
      </c>
      <c r="F59" s="22"/>
      <c r="G59" s="59"/>
      <c r="H59" s="39"/>
    </row>
    <row r="60">
      <c r="A60" s="60" t="s">
        <v>54</v>
      </c>
      <c r="B60" s="60">
        <v>59900.0</v>
      </c>
      <c r="C60" s="60" t="s">
        <v>113</v>
      </c>
      <c r="D60" s="55" t="s">
        <v>69</v>
      </c>
      <c r="E60" s="61">
        <v>44545.0</v>
      </c>
      <c r="F60" s="39"/>
      <c r="G60" s="39"/>
      <c r="H60" s="39"/>
    </row>
    <row r="61">
      <c r="A61" s="60" t="s">
        <v>54</v>
      </c>
      <c r="B61" s="60">
        <v>47500.0</v>
      </c>
      <c r="C61" s="60" t="s">
        <v>114</v>
      </c>
      <c r="D61" s="55" t="s">
        <v>99</v>
      </c>
      <c r="E61" s="57">
        <v>44724.0</v>
      </c>
      <c r="F61" s="39"/>
      <c r="G61" s="39"/>
      <c r="H61" s="39"/>
    </row>
    <row r="62">
      <c r="A62" s="49" t="s">
        <v>54</v>
      </c>
      <c r="B62" s="49">
        <v>47500.0</v>
      </c>
      <c r="C62" s="49" t="s">
        <v>114</v>
      </c>
      <c r="D62" s="19" t="s">
        <v>59</v>
      </c>
      <c r="E62" s="21">
        <v>44724.0</v>
      </c>
      <c r="F62" s="62"/>
      <c r="G62" s="21">
        <v>45071.0</v>
      </c>
      <c r="H62" s="39"/>
    </row>
    <row r="63">
      <c r="A63" s="22"/>
      <c r="B63" s="22"/>
      <c r="C63" s="22"/>
      <c r="D63" s="55" t="s">
        <v>60</v>
      </c>
      <c r="E63" s="57">
        <v>45072.0</v>
      </c>
      <c r="F63" s="22"/>
      <c r="G63" s="57"/>
      <c r="H63" s="39"/>
    </row>
    <row r="64">
      <c r="A64" s="63" t="s">
        <v>54</v>
      </c>
      <c r="B64" s="63">
        <v>27800.0</v>
      </c>
      <c r="C64" s="63" t="s">
        <v>115</v>
      </c>
      <c r="D64" s="26" t="s">
        <v>79</v>
      </c>
      <c r="E64" s="64">
        <v>44733.0</v>
      </c>
      <c r="F64" s="43"/>
      <c r="G64" s="29">
        <v>45834.0</v>
      </c>
      <c r="H64" s="23" t="s">
        <v>116</v>
      </c>
    </row>
    <row r="65">
      <c r="A65" s="49" t="s">
        <v>54</v>
      </c>
      <c r="B65" s="49">
        <v>27800.0</v>
      </c>
      <c r="C65" s="49" t="s">
        <v>115</v>
      </c>
      <c r="D65" s="19" t="s">
        <v>117</v>
      </c>
      <c r="E65" s="21">
        <v>44740.0</v>
      </c>
      <c r="F65" s="62"/>
      <c r="G65" s="21">
        <v>45182.0</v>
      </c>
      <c r="H65" s="39"/>
    </row>
    <row r="66">
      <c r="A66" s="18"/>
      <c r="B66" s="18"/>
      <c r="C66" s="18"/>
      <c r="D66" s="19" t="s">
        <v>118</v>
      </c>
      <c r="E66" s="21">
        <v>45183.0</v>
      </c>
      <c r="F66" s="18"/>
      <c r="G66" s="21">
        <v>45691.0</v>
      </c>
      <c r="H66" s="39"/>
    </row>
    <row r="67">
      <c r="A67" s="22"/>
      <c r="B67" s="22"/>
      <c r="C67" s="22"/>
      <c r="D67" s="55" t="s">
        <v>111</v>
      </c>
      <c r="E67" s="59">
        <v>45698.0</v>
      </c>
      <c r="F67" s="22"/>
      <c r="G67" s="57"/>
      <c r="H67" s="39"/>
    </row>
    <row r="68">
      <c r="A68" s="65" t="s">
        <v>54</v>
      </c>
      <c r="B68" s="65">
        <v>42900.0</v>
      </c>
      <c r="C68" s="65" t="s">
        <v>119</v>
      </c>
      <c r="D68" s="19" t="s">
        <v>56</v>
      </c>
      <c r="E68" s="57">
        <v>44816.0</v>
      </c>
      <c r="F68" s="65" t="s">
        <v>120</v>
      </c>
      <c r="G68" s="21">
        <v>45691.0</v>
      </c>
      <c r="H68" s="39"/>
    </row>
    <row r="69">
      <c r="A69" s="22"/>
      <c r="B69" s="22"/>
      <c r="C69" s="22"/>
      <c r="D69" s="55" t="s">
        <v>121</v>
      </c>
      <c r="E69" s="57">
        <v>45691.0</v>
      </c>
      <c r="F69" s="22"/>
      <c r="G69" s="39"/>
      <c r="H69" s="39"/>
    </row>
    <row r="70">
      <c r="A70" s="66" t="s">
        <v>54</v>
      </c>
      <c r="B70" s="67">
        <v>40900.0</v>
      </c>
      <c r="C70" s="65" t="s">
        <v>119</v>
      </c>
      <c r="D70" s="19" t="s">
        <v>122</v>
      </c>
      <c r="E70" s="57">
        <v>44942.0</v>
      </c>
      <c r="F70" s="65" t="s">
        <v>120</v>
      </c>
      <c r="G70" s="68">
        <v>45728.0</v>
      </c>
      <c r="H70" s="39"/>
    </row>
    <row r="71">
      <c r="A71" s="22"/>
      <c r="B71" s="22"/>
      <c r="C71" s="22"/>
      <c r="D71" s="55" t="s">
        <v>123</v>
      </c>
      <c r="E71" s="59">
        <v>45733.0</v>
      </c>
      <c r="F71" s="22"/>
      <c r="G71" s="39"/>
      <c r="H71" s="39"/>
    </row>
    <row r="72">
      <c r="A72" s="49" t="s">
        <v>54</v>
      </c>
      <c r="B72" s="49">
        <v>40900.0</v>
      </c>
      <c r="C72" s="49" t="s">
        <v>124</v>
      </c>
      <c r="D72" s="19" t="s">
        <v>104</v>
      </c>
      <c r="E72" s="21">
        <v>45191.0</v>
      </c>
      <c r="F72" s="69"/>
      <c r="G72" s="21">
        <v>45638.0</v>
      </c>
      <c r="H72" s="39"/>
    </row>
    <row r="73">
      <c r="A73" s="18"/>
      <c r="B73" s="18"/>
      <c r="C73" s="18"/>
      <c r="D73" s="19" t="s">
        <v>125</v>
      </c>
      <c r="E73" s="21">
        <v>45642.0</v>
      </c>
      <c r="F73" s="18"/>
      <c r="G73" s="21">
        <v>45695.0</v>
      </c>
      <c r="H73" s="39"/>
    </row>
    <row r="74">
      <c r="A74" s="18"/>
      <c r="B74" s="18"/>
      <c r="C74" s="18"/>
      <c r="D74" s="19" t="s">
        <v>126</v>
      </c>
      <c r="E74" s="21">
        <v>45733.0</v>
      </c>
      <c r="F74" s="18"/>
      <c r="G74" s="21">
        <v>45776.0</v>
      </c>
      <c r="H74" s="39"/>
    </row>
    <row r="75">
      <c r="A75" s="18"/>
      <c r="B75" s="18"/>
      <c r="C75" s="18"/>
      <c r="D75" s="19" t="s">
        <v>75</v>
      </c>
      <c r="E75" s="21">
        <v>45786.0</v>
      </c>
      <c r="F75" s="18"/>
      <c r="G75" s="21">
        <v>45807.0</v>
      </c>
      <c r="H75" s="39"/>
    </row>
    <row r="76">
      <c r="A76" s="18"/>
      <c r="B76" s="18"/>
      <c r="C76" s="18"/>
      <c r="D76" s="19" t="s">
        <v>127</v>
      </c>
      <c r="E76" s="21">
        <v>45810.0</v>
      </c>
      <c r="F76" s="18"/>
      <c r="G76" s="21">
        <v>45852.0</v>
      </c>
      <c r="H76" s="60"/>
    </row>
    <row r="77">
      <c r="A77" s="18"/>
      <c r="B77" s="18"/>
      <c r="C77" s="18"/>
      <c r="D77" s="55" t="s">
        <v>90</v>
      </c>
      <c r="E77" s="57">
        <v>45862.0</v>
      </c>
      <c r="F77" s="22"/>
      <c r="G77" s="57"/>
      <c r="H77" s="60"/>
    </row>
    <row r="78">
      <c r="A78" s="47" t="s">
        <v>54</v>
      </c>
      <c r="B78" s="47">
        <v>40900.0</v>
      </c>
      <c r="C78" s="47" t="s">
        <v>124</v>
      </c>
      <c r="D78" s="48" t="s">
        <v>87</v>
      </c>
      <c r="E78" s="70">
        <v>45092.0</v>
      </c>
      <c r="F78" s="69"/>
      <c r="G78" s="21">
        <v>45601.0</v>
      </c>
      <c r="H78" s="12" t="s">
        <v>128</v>
      </c>
    </row>
    <row r="79">
      <c r="A79" s="22"/>
      <c r="B79" s="22"/>
      <c r="C79" s="22"/>
      <c r="D79" s="26" t="s">
        <v>64</v>
      </c>
      <c r="E79" s="64">
        <v>45601.0</v>
      </c>
      <c r="F79" s="22"/>
      <c r="G79" s="29">
        <v>45894.0</v>
      </c>
      <c r="H79" s="22"/>
    </row>
    <row r="80">
      <c r="A80" s="60" t="s">
        <v>54</v>
      </c>
      <c r="B80" s="60">
        <v>42900.0</v>
      </c>
      <c r="C80" s="60" t="s">
        <v>129</v>
      </c>
      <c r="D80" s="55" t="s">
        <v>92</v>
      </c>
      <c r="E80" s="57">
        <v>45174.0</v>
      </c>
      <c r="F80" s="60" t="s">
        <v>120</v>
      </c>
      <c r="G80" s="39"/>
      <c r="H80" s="39"/>
    </row>
    <row r="81">
      <c r="A81" s="60" t="s">
        <v>54</v>
      </c>
      <c r="B81" s="60">
        <v>59900.0</v>
      </c>
      <c r="C81" s="60" t="s">
        <v>130</v>
      </c>
      <c r="D81" s="55" t="s">
        <v>61</v>
      </c>
      <c r="E81" s="57">
        <v>45229.0</v>
      </c>
      <c r="F81" s="60" t="s">
        <v>120</v>
      </c>
      <c r="G81" s="39"/>
      <c r="H81" s="39"/>
    </row>
    <row r="82">
      <c r="A82" s="71" t="s">
        <v>54</v>
      </c>
      <c r="B82" s="49">
        <v>57688.0</v>
      </c>
      <c r="C82" s="49" t="s">
        <v>130</v>
      </c>
      <c r="D82" s="19" t="s">
        <v>131</v>
      </c>
      <c r="E82" s="21">
        <v>45278.0</v>
      </c>
      <c r="F82" s="54" t="s">
        <v>120</v>
      </c>
      <c r="G82" s="21">
        <v>45565.0</v>
      </c>
      <c r="H82" s="39"/>
    </row>
    <row r="83">
      <c r="A83" s="22"/>
      <c r="B83" s="22"/>
      <c r="C83" s="22"/>
      <c r="D83" s="55" t="s">
        <v>132</v>
      </c>
      <c r="E83" s="59">
        <v>45573.0</v>
      </c>
      <c r="F83" s="22"/>
      <c r="G83" s="59"/>
      <c r="H83" s="39"/>
    </row>
    <row r="84">
      <c r="A84" s="60" t="s">
        <v>54</v>
      </c>
      <c r="B84" s="60">
        <v>57675.0</v>
      </c>
      <c r="C84" s="60" t="s">
        <v>130</v>
      </c>
      <c r="D84" s="55" t="s">
        <v>81</v>
      </c>
      <c r="E84" s="57">
        <v>45282.0</v>
      </c>
      <c r="F84" s="60" t="s">
        <v>120</v>
      </c>
      <c r="G84" s="39"/>
      <c r="H84" s="39"/>
    </row>
    <row r="85">
      <c r="A85" s="60" t="s">
        <v>54</v>
      </c>
      <c r="B85" s="60">
        <v>49876.0</v>
      </c>
      <c r="C85" s="60" t="s">
        <v>133</v>
      </c>
      <c r="D85" s="55" t="s">
        <v>100</v>
      </c>
      <c r="E85" s="57">
        <v>45293.0</v>
      </c>
      <c r="F85" s="60" t="s">
        <v>134</v>
      </c>
      <c r="G85" s="39"/>
      <c r="H85" s="39"/>
    </row>
    <row r="86">
      <c r="A86" s="49" t="s">
        <v>54</v>
      </c>
      <c r="B86" s="49">
        <v>57900.0</v>
      </c>
      <c r="C86" s="49" t="s">
        <v>130</v>
      </c>
      <c r="D86" s="19" t="s">
        <v>88</v>
      </c>
      <c r="E86" s="21">
        <v>45505.0</v>
      </c>
      <c r="F86" s="71" t="s">
        <v>120</v>
      </c>
      <c r="G86" s="21">
        <v>45898.0</v>
      </c>
      <c r="H86" s="39"/>
    </row>
    <row r="87">
      <c r="A87" s="18"/>
      <c r="B87" s="18"/>
      <c r="C87" s="18"/>
      <c r="D87" s="19" t="s">
        <v>135</v>
      </c>
      <c r="E87" s="21">
        <v>45901.0</v>
      </c>
      <c r="F87" s="18"/>
      <c r="G87" s="21">
        <v>45903.0</v>
      </c>
      <c r="H87" s="39"/>
    </row>
    <row r="88">
      <c r="A88" s="18"/>
      <c r="B88" s="18"/>
      <c r="C88" s="18"/>
      <c r="D88" s="72" t="s">
        <v>64</v>
      </c>
      <c r="E88" s="73">
        <v>45905.0</v>
      </c>
      <c r="F88" s="18"/>
      <c r="G88" s="21">
        <v>45937.0</v>
      </c>
      <c r="H88" s="39"/>
    </row>
    <row r="89">
      <c r="A89" s="22"/>
      <c r="B89" s="22"/>
      <c r="C89" s="22"/>
      <c r="D89" s="55" t="s">
        <v>108</v>
      </c>
      <c r="E89" s="57">
        <v>45938.0</v>
      </c>
      <c r="F89" s="22"/>
      <c r="G89" s="57"/>
      <c r="H89" s="39"/>
    </row>
    <row r="90">
      <c r="A90" s="60" t="s">
        <v>54</v>
      </c>
      <c r="B90" s="60">
        <v>49900.0</v>
      </c>
      <c r="C90" s="60" t="s">
        <v>136</v>
      </c>
      <c r="D90" s="55" t="s">
        <v>63</v>
      </c>
      <c r="E90" s="57">
        <v>45538.0</v>
      </c>
      <c r="F90" s="60" t="s">
        <v>134</v>
      </c>
      <c r="G90" s="39"/>
      <c r="H90" s="39"/>
    </row>
    <row r="91">
      <c r="A91" s="60" t="s">
        <v>54</v>
      </c>
      <c r="B91" s="60">
        <v>53511.0</v>
      </c>
      <c r="C91" s="60" t="s">
        <v>137</v>
      </c>
      <c r="D91" s="55" t="s">
        <v>87</v>
      </c>
      <c r="E91" s="57">
        <v>45601.0</v>
      </c>
      <c r="F91" s="60" t="s">
        <v>120</v>
      </c>
      <c r="G91" s="39"/>
      <c r="H91" s="39"/>
    </row>
    <row r="92">
      <c r="A92" s="47" t="s">
        <v>54</v>
      </c>
      <c r="B92" s="47">
        <v>42850.0</v>
      </c>
      <c r="C92" s="47" t="s">
        <v>138</v>
      </c>
      <c r="D92" s="48" t="s">
        <v>104</v>
      </c>
      <c r="E92" s="70">
        <v>45625.0</v>
      </c>
      <c r="F92" s="58" t="s">
        <v>134</v>
      </c>
      <c r="G92" s="74">
        <v>45776.0</v>
      </c>
      <c r="H92" s="39"/>
    </row>
    <row r="93">
      <c r="A93" s="18"/>
      <c r="B93" s="18"/>
      <c r="C93" s="18"/>
      <c r="D93" s="48" t="s">
        <v>66</v>
      </c>
      <c r="E93" s="70">
        <v>45784.0</v>
      </c>
      <c r="F93" s="18"/>
      <c r="G93" s="74">
        <v>45807.0</v>
      </c>
      <c r="H93" s="39"/>
    </row>
    <row r="94">
      <c r="A94" s="18"/>
      <c r="B94" s="18"/>
      <c r="C94" s="18"/>
      <c r="D94" s="26" t="s">
        <v>139</v>
      </c>
      <c r="E94" s="64">
        <v>45810.0</v>
      </c>
      <c r="F94" s="18"/>
      <c r="G94" s="29">
        <v>45852.0</v>
      </c>
      <c r="H94" s="23" t="s">
        <v>140</v>
      </c>
    </row>
    <row r="95">
      <c r="A95" s="60" t="s">
        <v>54</v>
      </c>
      <c r="B95" s="60">
        <v>53511.0</v>
      </c>
      <c r="C95" s="60" t="s">
        <v>141</v>
      </c>
      <c r="D95" s="55" t="s">
        <v>106</v>
      </c>
      <c r="E95" s="57">
        <v>45652.0</v>
      </c>
      <c r="F95" s="60" t="s">
        <v>120</v>
      </c>
      <c r="G95" s="39"/>
      <c r="H95" s="39"/>
    </row>
    <row r="96">
      <c r="A96" s="60" t="s">
        <v>54</v>
      </c>
      <c r="B96" s="60">
        <v>57000.0</v>
      </c>
      <c r="C96" s="60" t="s">
        <v>142</v>
      </c>
      <c r="D96" s="55" t="s">
        <v>56</v>
      </c>
      <c r="E96" s="57">
        <v>45690.0</v>
      </c>
      <c r="F96" s="60" t="s">
        <v>120</v>
      </c>
      <c r="G96" s="39"/>
      <c r="H96" s="39"/>
    </row>
    <row r="97">
      <c r="A97" s="60" t="s">
        <v>54</v>
      </c>
      <c r="B97" s="60">
        <v>43999.0</v>
      </c>
      <c r="C97" s="60" t="s">
        <v>143</v>
      </c>
      <c r="D97" s="55" t="s">
        <v>122</v>
      </c>
      <c r="E97" s="57">
        <v>45728.0</v>
      </c>
      <c r="F97" s="60" t="s">
        <v>144</v>
      </c>
      <c r="G97" s="39"/>
      <c r="H97" s="39"/>
    </row>
    <row r="98">
      <c r="A98" s="71" t="s">
        <v>54</v>
      </c>
      <c r="B98" s="75">
        <v>54499.0</v>
      </c>
      <c r="C98" s="75" t="s">
        <v>145</v>
      </c>
      <c r="D98" s="19" t="s">
        <v>104</v>
      </c>
      <c r="E98" s="21">
        <v>45775.0</v>
      </c>
      <c r="F98" s="49" t="s">
        <v>144</v>
      </c>
      <c r="G98" s="21">
        <v>45971.0</v>
      </c>
      <c r="H98" s="39"/>
    </row>
    <row r="99">
      <c r="A99" s="22"/>
      <c r="B99" s="22"/>
      <c r="C99" s="22"/>
      <c r="D99" s="55" t="s">
        <v>101</v>
      </c>
      <c r="E99" s="57">
        <v>45974.0</v>
      </c>
      <c r="F99" s="22"/>
      <c r="G99" s="39"/>
      <c r="H99" s="39"/>
    </row>
    <row r="100">
      <c r="A100" s="60" t="s">
        <v>54</v>
      </c>
      <c r="B100" s="60">
        <v>56999.0</v>
      </c>
      <c r="C100" s="60" t="s">
        <v>146</v>
      </c>
      <c r="D100" s="76" t="s">
        <v>82</v>
      </c>
      <c r="E100" s="57">
        <v>45826.0</v>
      </c>
      <c r="F100" s="60" t="s">
        <v>144</v>
      </c>
      <c r="G100" s="39"/>
      <c r="H100" s="39"/>
    </row>
    <row r="101">
      <c r="A101" s="60" t="s">
        <v>54</v>
      </c>
      <c r="B101" s="60">
        <v>52400.0</v>
      </c>
      <c r="C101" s="60" t="s">
        <v>147</v>
      </c>
      <c r="D101" s="76" t="s">
        <v>76</v>
      </c>
      <c r="E101" s="57">
        <v>45827.0</v>
      </c>
      <c r="F101" s="39"/>
      <c r="G101" s="39"/>
      <c r="H101" s="39"/>
    </row>
    <row r="102">
      <c r="A102" s="60" t="s">
        <v>54</v>
      </c>
      <c r="B102" s="60">
        <v>56999.0</v>
      </c>
      <c r="C102" s="60" t="s">
        <v>146</v>
      </c>
      <c r="D102" s="55" t="s">
        <v>89</v>
      </c>
      <c r="E102" s="57">
        <v>45831.0</v>
      </c>
      <c r="F102" s="60" t="s">
        <v>144</v>
      </c>
      <c r="G102" s="39"/>
      <c r="H102" s="39"/>
    </row>
    <row r="103">
      <c r="A103" s="60" t="s">
        <v>54</v>
      </c>
      <c r="B103" s="60">
        <v>52045.0</v>
      </c>
      <c r="C103" s="60" t="s">
        <v>146</v>
      </c>
      <c r="D103" s="55" t="s">
        <v>139</v>
      </c>
      <c r="E103" s="57">
        <v>45831.0</v>
      </c>
      <c r="F103" s="60" t="s">
        <v>144</v>
      </c>
      <c r="G103" s="39"/>
      <c r="H103" s="39"/>
    </row>
    <row r="104">
      <c r="A104" s="60" t="s">
        <v>54</v>
      </c>
      <c r="B104" s="60">
        <v>56999.0</v>
      </c>
      <c r="C104" s="60" t="s">
        <v>146</v>
      </c>
      <c r="D104" s="55" t="s">
        <v>127</v>
      </c>
      <c r="E104" s="57">
        <v>45831.0</v>
      </c>
      <c r="F104" s="60" t="s">
        <v>144</v>
      </c>
      <c r="G104" s="39"/>
      <c r="H104" s="39"/>
    </row>
    <row r="105">
      <c r="A105" s="60" t="s">
        <v>54</v>
      </c>
      <c r="B105" s="60">
        <v>55900.0</v>
      </c>
      <c r="C105" s="60" t="s">
        <v>146</v>
      </c>
      <c r="D105" s="55" t="s">
        <v>66</v>
      </c>
      <c r="E105" s="57">
        <v>45861.0</v>
      </c>
      <c r="F105" s="60" t="s">
        <v>144</v>
      </c>
      <c r="G105" s="39"/>
      <c r="H105" s="39"/>
    </row>
    <row r="106">
      <c r="A106" s="65" t="s">
        <v>54</v>
      </c>
      <c r="B106" s="65">
        <v>45400.0</v>
      </c>
      <c r="C106" s="65" t="s">
        <v>148</v>
      </c>
      <c r="D106" s="19" t="s">
        <v>149</v>
      </c>
      <c r="E106" s="21">
        <v>45908.0</v>
      </c>
      <c r="F106" s="69"/>
      <c r="G106" s="21">
        <v>45937.0</v>
      </c>
      <c r="H106" s="39"/>
    </row>
    <row r="107">
      <c r="A107" s="22"/>
      <c r="B107" s="22"/>
      <c r="C107" s="22"/>
      <c r="D107" s="55" t="s">
        <v>104</v>
      </c>
      <c r="E107" s="57">
        <v>45944.0</v>
      </c>
      <c r="F107" s="22"/>
      <c r="G107" s="39"/>
      <c r="H107" s="39"/>
    </row>
    <row r="108">
      <c r="A108" s="60" t="s">
        <v>54</v>
      </c>
      <c r="B108" s="60">
        <v>52499.0</v>
      </c>
      <c r="C108" s="60" t="s">
        <v>146</v>
      </c>
      <c r="D108" s="55" t="s">
        <v>96</v>
      </c>
      <c r="E108" s="57">
        <v>45887.0</v>
      </c>
      <c r="F108" s="60" t="s">
        <v>144</v>
      </c>
      <c r="G108" s="39"/>
      <c r="H108" s="39"/>
    </row>
    <row r="109">
      <c r="A109" s="65" t="s">
        <v>54</v>
      </c>
      <c r="B109" s="65">
        <v>53299.0</v>
      </c>
      <c r="C109" s="65" t="s">
        <v>146</v>
      </c>
      <c r="D109" s="19" t="s">
        <v>150</v>
      </c>
      <c r="E109" s="21">
        <v>45901.0</v>
      </c>
      <c r="F109" s="65" t="s">
        <v>144</v>
      </c>
      <c r="G109" s="21">
        <v>45917.0</v>
      </c>
      <c r="H109" s="39"/>
    </row>
    <row r="110">
      <c r="A110" s="22"/>
      <c r="B110" s="22"/>
      <c r="C110" s="22"/>
      <c r="D110" s="55" t="s">
        <v>64</v>
      </c>
      <c r="E110" s="77">
        <v>45933.0</v>
      </c>
      <c r="F110" s="22"/>
      <c r="G110" s="78"/>
      <c r="H110" s="78"/>
    </row>
    <row r="111">
      <c r="A111" s="60" t="s">
        <v>54</v>
      </c>
      <c r="B111" s="60">
        <v>39999.0</v>
      </c>
      <c r="C111" s="60" t="s">
        <v>151</v>
      </c>
      <c r="D111" s="55" t="s">
        <v>67</v>
      </c>
      <c r="E111" s="57">
        <v>45937.0</v>
      </c>
      <c r="F111" s="60" t="s">
        <v>144</v>
      </c>
      <c r="G111" s="39"/>
      <c r="H111" s="39"/>
    </row>
    <row r="112">
      <c r="A112" s="60" t="s">
        <v>54</v>
      </c>
      <c r="B112" s="60">
        <v>39999.0</v>
      </c>
      <c r="C112" s="60" t="s">
        <v>151</v>
      </c>
      <c r="D112" s="55" t="s">
        <v>91</v>
      </c>
      <c r="E112" s="57">
        <v>45937.0</v>
      </c>
      <c r="F112" s="60" t="s">
        <v>144</v>
      </c>
      <c r="G112" s="39"/>
      <c r="H112" s="39"/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</sheetData>
  <mergeCells count="88">
    <mergeCell ref="A47:A51"/>
    <mergeCell ref="B47:B51"/>
    <mergeCell ref="C47:C51"/>
    <mergeCell ref="F47:F51"/>
    <mergeCell ref="A52:A55"/>
    <mergeCell ref="B52:B55"/>
    <mergeCell ref="C52:C55"/>
    <mergeCell ref="A56:A59"/>
    <mergeCell ref="B56:B59"/>
    <mergeCell ref="C56:C59"/>
    <mergeCell ref="F56:F59"/>
    <mergeCell ref="B62:B63"/>
    <mergeCell ref="C62:C63"/>
    <mergeCell ref="F62:F63"/>
    <mergeCell ref="A62:A63"/>
    <mergeCell ref="A65:A67"/>
    <mergeCell ref="B65:B67"/>
    <mergeCell ref="C65:C67"/>
    <mergeCell ref="A68:A69"/>
    <mergeCell ref="B68:B69"/>
    <mergeCell ref="C68:C69"/>
    <mergeCell ref="B78:B79"/>
    <mergeCell ref="C78:C79"/>
    <mergeCell ref="A70:A71"/>
    <mergeCell ref="B70:B71"/>
    <mergeCell ref="C70:C71"/>
    <mergeCell ref="A72:A77"/>
    <mergeCell ref="B72:B77"/>
    <mergeCell ref="C72:C77"/>
    <mergeCell ref="A78:A79"/>
    <mergeCell ref="B92:B94"/>
    <mergeCell ref="C92:C94"/>
    <mergeCell ref="A82:A83"/>
    <mergeCell ref="B82:B83"/>
    <mergeCell ref="C82:C83"/>
    <mergeCell ref="A86:A89"/>
    <mergeCell ref="B86:B89"/>
    <mergeCell ref="C86:C89"/>
    <mergeCell ref="A92:A94"/>
    <mergeCell ref="B109:B110"/>
    <mergeCell ref="C109:C110"/>
    <mergeCell ref="A98:A99"/>
    <mergeCell ref="B98:B99"/>
    <mergeCell ref="C98:C99"/>
    <mergeCell ref="A106:A107"/>
    <mergeCell ref="B106:B107"/>
    <mergeCell ref="C106:C107"/>
    <mergeCell ref="A109:A110"/>
    <mergeCell ref="F17:F26"/>
    <mergeCell ref="F29:F30"/>
    <mergeCell ref="F31:F34"/>
    <mergeCell ref="F35:F42"/>
    <mergeCell ref="H35:H42"/>
    <mergeCell ref="A17:A26"/>
    <mergeCell ref="B17:B26"/>
    <mergeCell ref="C17:C26"/>
    <mergeCell ref="H17:H26"/>
    <mergeCell ref="A29:A30"/>
    <mergeCell ref="B29:B30"/>
    <mergeCell ref="C29:C30"/>
    <mergeCell ref="B43:B44"/>
    <mergeCell ref="C43:C44"/>
    <mergeCell ref="A45:A46"/>
    <mergeCell ref="B45:B46"/>
    <mergeCell ref="C45:C46"/>
    <mergeCell ref="F45:F46"/>
    <mergeCell ref="H45:H46"/>
    <mergeCell ref="A31:A34"/>
    <mergeCell ref="B31:B34"/>
    <mergeCell ref="C31:C34"/>
    <mergeCell ref="A35:A42"/>
    <mergeCell ref="B35:B42"/>
    <mergeCell ref="C35:C42"/>
    <mergeCell ref="A43:A44"/>
    <mergeCell ref="F52:F55"/>
    <mergeCell ref="H52:H55"/>
    <mergeCell ref="F86:F89"/>
    <mergeCell ref="F92:F94"/>
    <mergeCell ref="F98:F99"/>
    <mergeCell ref="F106:F107"/>
    <mergeCell ref="F109:F110"/>
    <mergeCell ref="F65:F67"/>
    <mergeCell ref="F68:F69"/>
    <mergeCell ref="F70:F71"/>
    <mergeCell ref="F72:F77"/>
    <mergeCell ref="F78:F79"/>
    <mergeCell ref="H78:H79"/>
    <mergeCell ref="F82:F83"/>
  </mergeCells>
  <hyperlinks>
    <hyperlink r:id="rId2" ref="C4"/>
    <hyperlink r:id="rId3" ref="C5"/>
    <hyperlink r:id="rId4" ref="C6"/>
    <hyperlink r:id="rId5" ref="C7"/>
    <hyperlink r:id="rId6" ref="C8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9" t="s">
        <v>152</v>
      </c>
      <c r="B1" s="79" t="s">
        <v>152</v>
      </c>
      <c r="C1" s="80"/>
      <c r="D1" s="81">
        <v>1.0</v>
      </c>
      <c r="E1" s="81">
        <v>2.0</v>
      </c>
      <c r="F1" s="81">
        <v>3.0</v>
      </c>
      <c r="G1" s="81">
        <v>4.0</v>
      </c>
      <c r="H1" s="81">
        <v>5.0</v>
      </c>
      <c r="I1" s="81">
        <v>6.0</v>
      </c>
      <c r="J1" s="81">
        <v>7.0</v>
      </c>
      <c r="K1" s="81">
        <v>8.0</v>
      </c>
      <c r="L1" s="81">
        <v>9.0</v>
      </c>
      <c r="M1" s="81">
        <v>10.0</v>
      </c>
      <c r="N1" s="81">
        <v>11.0</v>
      </c>
      <c r="O1" s="81">
        <v>12.0</v>
      </c>
      <c r="P1" s="81">
        <v>13.0</v>
      </c>
      <c r="Q1" s="81">
        <v>14.0</v>
      </c>
      <c r="R1" s="81">
        <v>15.0</v>
      </c>
      <c r="S1" s="81">
        <v>16.0</v>
      </c>
      <c r="T1" s="81">
        <v>17.0</v>
      </c>
      <c r="U1" s="81">
        <v>18.0</v>
      </c>
      <c r="V1" s="81">
        <v>19.0</v>
      </c>
      <c r="W1" s="81">
        <v>20.0</v>
      </c>
      <c r="X1" s="81">
        <v>21.0</v>
      </c>
      <c r="Y1" s="81">
        <v>22.0</v>
      </c>
      <c r="Z1" s="81">
        <v>23.0</v>
      </c>
      <c r="AA1" s="81">
        <v>24.0</v>
      </c>
      <c r="AB1" s="81">
        <v>25.0</v>
      </c>
      <c r="AC1" s="81">
        <v>26.0</v>
      </c>
      <c r="AD1" s="81">
        <v>27.0</v>
      </c>
      <c r="AE1" s="81">
        <v>28.0</v>
      </c>
      <c r="AF1" s="81">
        <v>29.0</v>
      </c>
      <c r="AG1" s="81">
        <v>30.0</v>
      </c>
      <c r="AH1" s="81">
        <v>31.0</v>
      </c>
      <c r="AI1" s="81">
        <v>32.0</v>
      </c>
      <c r="AJ1" s="81">
        <v>33.0</v>
      </c>
      <c r="AK1" s="81">
        <v>34.0</v>
      </c>
      <c r="AL1" s="81">
        <v>35.0</v>
      </c>
      <c r="AM1" s="81">
        <v>36.0</v>
      </c>
    </row>
    <row r="2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4"/>
    </row>
    <row r="3">
      <c r="A3" s="1" t="s">
        <v>153</v>
      </c>
      <c r="B3" s="85" t="s">
        <v>154</v>
      </c>
      <c r="C3" s="82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4"/>
    </row>
    <row r="4">
      <c r="A4" s="86" t="s">
        <v>73</v>
      </c>
      <c r="B4" s="87" t="s">
        <v>155</v>
      </c>
      <c r="C4" s="86" t="s">
        <v>156</v>
      </c>
      <c r="D4" s="88">
        <v>45056.0</v>
      </c>
      <c r="E4" s="88">
        <v>45087.0</v>
      </c>
      <c r="F4" s="88">
        <v>45114.0</v>
      </c>
      <c r="G4" s="88">
        <v>45154.0</v>
      </c>
      <c r="H4" s="88">
        <v>45176.0</v>
      </c>
      <c r="I4" s="88">
        <v>45205.0</v>
      </c>
      <c r="J4" s="88">
        <v>45240.0</v>
      </c>
      <c r="K4" s="88">
        <v>45272.0</v>
      </c>
      <c r="L4" s="88">
        <v>45300.0</v>
      </c>
      <c r="M4" s="88">
        <v>45328.0</v>
      </c>
      <c r="N4" s="88">
        <v>45358.0</v>
      </c>
      <c r="O4" s="88">
        <v>45391.0</v>
      </c>
      <c r="P4" s="88">
        <v>45422.0</v>
      </c>
      <c r="Q4" s="88">
        <v>45449.0</v>
      </c>
      <c r="R4" s="88">
        <v>45481.0</v>
      </c>
      <c r="S4" s="89">
        <v>45506.0</v>
      </c>
      <c r="T4" s="88">
        <v>45544.0</v>
      </c>
      <c r="U4" s="88">
        <v>45579.0</v>
      </c>
      <c r="V4" s="88">
        <v>45604.0</v>
      </c>
      <c r="W4" s="78"/>
      <c r="X4" s="78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</row>
    <row r="5">
      <c r="A5" s="86" t="s">
        <v>110</v>
      </c>
      <c r="B5" s="90" t="s">
        <v>155</v>
      </c>
      <c r="C5" s="91" t="s">
        <v>156</v>
      </c>
      <c r="D5" s="92">
        <v>45118.0</v>
      </c>
      <c r="E5" s="92">
        <v>45147.0</v>
      </c>
      <c r="F5" s="92">
        <v>45177.0</v>
      </c>
      <c r="G5" s="92">
        <v>45205.0</v>
      </c>
      <c r="H5" s="92">
        <v>45240.0</v>
      </c>
      <c r="I5" s="92">
        <v>45268.0</v>
      </c>
      <c r="J5" s="92">
        <v>45300.0</v>
      </c>
      <c r="K5" s="92">
        <v>45327.0</v>
      </c>
      <c r="L5" s="92">
        <v>45358.0</v>
      </c>
      <c r="M5" s="92">
        <v>45392.0</v>
      </c>
      <c r="N5" s="92">
        <v>45421.0</v>
      </c>
      <c r="O5" s="92">
        <v>45449.0</v>
      </c>
      <c r="P5" s="92">
        <v>45484.0</v>
      </c>
      <c r="Q5" s="92">
        <v>45512.0</v>
      </c>
      <c r="R5" s="92">
        <v>45545.0</v>
      </c>
      <c r="S5" s="92">
        <v>45579.0</v>
      </c>
      <c r="T5" s="92">
        <v>45604.0</v>
      </c>
      <c r="U5" s="93"/>
      <c r="V5" s="93"/>
      <c r="W5" s="78"/>
      <c r="X5" s="78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</row>
    <row r="6">
      <c r="A6" s="94" t="s">
        <v>86</v>
      </c>
      <c r="B6" s="95">
        <v>53900.0</v>
      </c>
      <c r="C6" s="96" t="s">
        <v>156</v>
      </c>
      <c r="D6" s="97">
        <v>45056.0</v>
      </c>
      <c r="E6" s="98">
        <v>45087.0</v>
      </c>
      <c r="F6" s="98">
        <v>45117.0</v>
      </c>
      <c r="G6" s="98">
        <v>45147.0</v>
      </c>
      <c r="H6" s="98">
        <v>45177.0</v>
      </c>
      <c r="I6" s="98">
        <v>45205.0</v>
      </c>
      <c r="J6" s="98">
        <v>45243.0</v>
      </c>
      <c r="K6" s="98">
        <v>45267.0</v>
      </c>
      <c r="L6" s="98">
        <v>44935.0</v>
      </c>
      <c r="M6" s="98">
        <v>45327.0</v>
      </c>
      <c r="N6" s="98">
        <v>45363.0</v>
      </c>
      <c r="O6" s="98">
        <v>45391.0</v>
      </c>
      <c r="P6" s="98">
        <v>45421.0</v>
      </c>
      <c r="Q6" s="98">
        <v>45449.0</v>
      </c>
      <c r="R6" s="98">
        <v>45481.0</v>
      </c>
      <c r="S6" s="98">
        <v>45512.0</v>
      </c>
      <c r="T6" s="98">
        <v>45544.0</v>
      </c>
      <c r="U6" s="98">
        <v>45573.0</v>
      </c>
      <c r="V6" s="98">
        <v>45603.0</v>
      </c>
      <c r="W6" s="98">
        <v>45644.0</v>
      </c>
      <c r="X6" s="99">
        <v>45671.0</v>
      </c>
      <c r="Y6" s="98">
        <v>45695.0</v>
      </c>
      <c r="Z6" s="100">
        <v>45726.0</v>
      </c>
      <c r="AA6" s="98">
        <v>45756.0</v>
      </c>
      <c r="AB6" s="98">
        <v>45789.0</v>
      </c>
      <c r="AC6" s="98">
        <v>45818.0</v>
      </c>
      <c r="AD6" s="98">
        <v>45848.0</v>
      </c>
      <c r="AE6" s="100">
        <v>45877.0</v>
      </c>
      <c r="AF6" s="100">
        <v>45912.0</v>
      </c>
      <c r="AG6" s="101">
        <v>45946.0</v>
      </c>
      <c r="AH6" s="100">
        <v>45968.0</v>
      </c>
      <c r="AI6" s="100">
        <v>45996.0</v>
      </c>
      <c r="AJ6" s="102"/>
      <c r="AK6" s="103"/>
      <c r="AL6" s="103"/>
      <c r="AM6" s="103"/>
    </row>
    <row r="7">
      <c r="A7" s="22"/>
      <c r="B7" s="104"/>
      <c r="C7" s="105" t="s">
        <v>157</v>
      </c>
      <c r="D7" s="105">
        <v>1000.0</v>
      </c>
      <c r="E7" s="106">
        <v>1000.0</v>
      </c>
      <c r="F7" s="106">
        <v>1000.0</v>
      </c>
      <c r="G7" s="106">
        <v>1000.0</v>
      </c>
      <c r="H7" s="106">
        <v>1000.0</v>
      </c>
      <c r="I7" s="106">
        <v>1000.0</v>
      </c>
      <c r="J7" s="106">
        <v>1000.0</v>
      </c>
      <c r="K7" s="106">
        <v>1000.0</v>
      </c>
      <c r="L7" s="106">
        <v>1000.0</v>
      </c>
      <c r="M7" s="106">
        <v>1000.0</v>
      </c>
      <c r="N7" s="106">
        <v>1000.0</v>
      </c>
      <c r="O7" s="106">
        <v>1000.0</v>
      </c>
      <c r="P7" s="106">
        <v>1000.0</v>
      </c>
      <c r="Q7" s="106">
        <v>1000.0</v>
      </c>
      <c r="R7" s="106">
        <v>1000.0</v>
      </c>
      <c r="S7" s="106">
        <v>1000.0</v>
      </c>
      <c r="T7" s="106">
        <v>1000.0</v>
      </c>
      <c r="U7" s="106">
        <v>1000.0</v>
      </c>
      <c r="V7" s="106">
        <v>1000.0</v>
      </c>
      <c r="W7" s="106">
        <v>1000.0</v>
      </c>
      <c r="X7" s="107">
        <v>1500.0</v>
      </c>
      <c r="Y7" s="106">
        <v>1500.0</v>
      </c>
      <c r="Z7" s="106">
        <v>1500.0</v>
      </c>
      <c r="AA7" s="106">
        <v>1500.0</v>
      </c>
      <c r="AB7" s="106">
        <v>2000.0</v>
      </c>
      <c r="AC7" s="106">
        <v>2000.0</v>
      </c>
      <c r="AD7" s="106">
        <v>2000.0</v>
      </c>
      <c r="AE7" s="106">
        <v>2000.0</v>
      </c>
      <c r="AF7" s="106">
        <v>2000.0</v>
      </c>
      <c r="AG7" s="106">
        <v>2000.0</v>
      </c>
      <c r="AH7" s="106">
        <v>2000.0</v>
      </c>
      <c r="AI7" s="106">
        <v>2000.0</v>
      </c>
      <c r="AJ7" s="106">
        <v>1120.0</v>
      </c>
      <c r="AK7" s="108"/>
      <c r="AL7" s="108"/>
      <c r="AM7" s="108"/>
    </row>
    <row r="8">
      <c r="A8" s="94" t="s">
        <v>59</v>
      </c>
      <c r="B8" s="95"/>
      <c r="C8" s="96" t="s">
        <v>156</v>
      </c>
      <c r="D8" s="97">
        <v>45056.0</v>
      </c>
      <c r="E8" s="97">
        <v>45087.0</v>
      </c>
      <c r="F8" s="97">
        <v>45114.0</v>
      </c>
      <c r="G8" s="98">
        <v>45148.0</v>
      </c>
      <c r="H8" s="98">
        <v>45176.0</v>
      </c>
      <c r="I8" s="98">
        <v>45205.0</v>
      </c>
      <c r="J8" s="98">
        <v>45240.0</v>
      </c>
      <c r="K8" s="98">
        <v>45267.0</v>
      </c>
      <c r="L8" s="98">
        <v>44935.0</v>
      </c>
      <c r="M8" s="98">
        <v>45328.0</v>
      </c>
      <c r="N8" s="98">
        <v>45359.0</v>
      </c>
      <c r="O8" s="98">
        <v>45392.0</v>
      </c>
      <c r="P8" s="98">
        <v>45421.0</v>
      </c>
      <c r="Q8" s="98">
        <v>45450.0</v>
      </c>
      <c r="R8" s="98">
        <v>45485.0</v>
      </c>
      <c r="S8" s="98">
        <v>45512.0</v>
      </c>
      <c r="T8" s="98">
        <v>45545.0</v>
      </c>
      <c r="U8" s="98">
        <v>45576.0</v>
      </c>
      <c r="V8" s="98">
        <v>45603.0</v>
      </c>
      <c r="W8" s="98">
        <v>45636.0</v>
      </c>
      <c r="X8" s="99">
        <v>45674.0</v>
      </c>
      <c r="Y8" s="97">
        <v>45709.0</v>
      </c>
      <c r="Z8" s="97">
        <v>45726.0</v>
      </c>
      <c r="AA8" s="98">
        <v>45756.0</v>
      </c>
      <c r="AB8" s="98">
        <v>45793.0</v>
      </c>
      <c r="AC8" s="98">
        <v>45818.0</v>
      </c>
      <c r="AD8" s="98">
        <v>45848.0</v>
      </c>
      <c r="AE8" s="98">
        <v>45901.0</v>
      </c>
      <c r="AF8" s="100">
        <v>45912.0</v>
      </c>
      <c r="AG8" s="100">
        <v>45939.0</v>
      </c>
      <c r="AH8" s="97">
        <v>45968.0</v>
      </c>
      <c r="AI8" s="97">
        <v>45996.0</v>
      </c>
      <c r="AJ8" s="109"/>
      <c r="AK8" s="109"/>
      <c r="AL8" s="109"/>
      <c r="AM8" s="109"/>
    </row>
    <row r="9">
      <c r="A9" s="22"/>
      <c r="B9" s="104"/>
      <c r="C9" s="105" t="s">
        <v>157</v>
      </c>
      <c r="D9" s="105">
        <v>1000.0</v>
      </c>
      <c r="E9" s="105">
        <v>1000.0</v>
      </c>
      <c r="F9" s="105">
        <v>1000.0</v>
      </c>
      <c r="G9" s="106">
        <v>1000.0</v>
      </c>
      <c r="H9" s="106">
        <v>1000.0</v>
      </c>
      <c r="I9" s="106">
        <v>1000.0</v>
      </c>
      <c r="J9" s="106">
        <v>1000.0</v>
      </c>
      <c r="K9" s="106">
        <v>1000.0</v>
      </c>
      <c r="L9" s="106">
        <v>1000.0</v>
      </c>
      <c r="M9" s="106">
        <v>1000.0</v>
      </c>
      <c r="N9" s="106">
        <v>1000.0</v>
      </c>
      <c r="O9" s="106">
        <v>1000.0</v>
      </c>
      <c r="P9" s="106">
        <v>1000.0</v>
      </c>
      <c r="Q9" s="106">
        <v>1000.0</v>
      </c>
      <c r="R9" s="106">
        <v>1000.0</v>
      </c>
      <c r="S9" s="106">
        <v>1000.0</v>
      </c>
      <c r="T9" s="106">
        <v>1000.0</v>
      </c>
      <c r="U9" s="106">
        <v>1000.0</v>
      </c>
      <c r="V9" s="106">
        <v>1000.0</v>
      </c>
      <c r="W9" s="106">
        <v>1000.0</v>
      </c>
      <c r="X9" s="107">
        <v>1000.0</v>
      </c>
      <c r="Y9" s="105">
        <v>1000.0</v>
      </c>
      <c r="Z9" s="105">
        <v>1000.0</v>
      </c>
      <c r="AA9" s="105">
        <v>1000.0</v>
      </c>
      <c r="AB9" s="105">
        <v>1000.0</v>
      </c>
      <c r="AC9" s="105">
        <v>1000.0</v>
      </c>
      <c r="AD9" s="105">
        <v>1000.0</v>
      </c>
      <c r="AE9" s="105">
        <v>1000.0</v>
      </c>
      <c r="AF9" s="105">
        <v>1000.0</v>
      </c>
      <c r="AG9" s="105">
        <v>1000.0</v>
      </c>
      <c r="AH9" s="105">
        <v>1000.0</v>
      </c>
      <c r="AI9" s="105">
        <v>1000.0</v>
      </c>
      <c r="AJ9" s="110"/>
      <c r="AK9" s="110"/>
      <c r="AL9" s="110"/>
      <c r="AM9" s="110"/>
    </row>
    <row r="10">
      <c r="A10" s="94" t="s">
        <v>158</v>
      </c>
      <c r="B10" s="95">
        <v>85900.0</v>
      </c>
      <c r="C10" s="96" t="s">
        <v>156</v>
      </c>
      <c r="D10" s="97">
        <v>45267.0</v>
      </c>
      <c r="E10" s="98">
        <v>45300.0</v>
      </c>
      <c r="F10" s="98">
        <v>45327.0</v>
      </c>
      <c r="G10" s="98">
        <v>45358.0</v>
      </c>
      <c r="H10" s="98">
        <v>45391.0</v>
      </c>
      <c r="I10" s="98">
        <v>45420.0</v>
      </c>
      <c r="J10" s="98">
        <v>45446.0</v>
      </c>
      <c r="K10" s="98">
        <v>45477.0</v>
      </c>
      <c r="L10" s="98">
        <v>45510.0</v>
      </c>
      <c r="M10" s="98">
        <v>45544.0</v>
      </c>
      <c r="N10" s="98">
        <v>45573.0</v>
      </c>
      <c r="O10" s="98">
        <v>45602.0</v>
      </c>
      <c r="P10" s="98">
        <v>45635.0</v>
      </c>
      <c r="Q10" s="98">
        <v>45667.0</v>
      </c>
      <c r="R10" s="98">
        <v>45694.0</v>
      </c>
      <c r="S10" s="98">
        <v>45723.0</v>
      </c>
      <c r="T10" s="98">
        <v>45756.0</v>
      </c>
      <c r="U10" s="98">
        <v>45785.0</v>
      </c>
      <c r="V10" s="98">
        <v>45818.0</v>
      </c>
      <c r="W10" s="98">
        <v>45846.0</v>
      </c>
      <c r="X10" s="98">
        <v>45877.0</v>
      </c>
      <c r="Y10" s="98">
        <v>45908.0</v>
      </c>
      <c r="Z10" s="98">
        <v>45939.0</v>
      </c>
      <c r="AA10" s="98">
        <v>45968.0</v>
      </c>
      <c r="AB10" s="98">
        <v>45994.0</v>
      </c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</row>
    <row r="11">
      <c r="A11" s="22"/>
      <c r="B11" s="104"/>
      <c r="C11" s="105" t="s">
        <v>157</v>
      </c>
      <c r="D11" s="105">
        <v>1000.0</v>
      </c>
      <c r="E11" s="106">
        <v>1000.0</v>
      </c>
      <c r="F11" s="106">
        <v>1000.0</v>
      </c>
      <c r="G11" s="106">
        <v>1000.0</v>
      </c>
      <c r="H11" s="106">
        <v>1000.0</v>
      </c>
      <c r="I11" s="106">
        <v>1000.0</v>
      </c>
      <c r="J11" s="106">
        <v>1000.0</v>
      </c>
      <c r="K11" s="106">
        <v>1000.0</v>
      </c>
      <c r="L11" s="106">
        <v>1000.0</v>
      </c>
      <c r="M11" s="106">
        <v>1000.0</v>
      </c>
      <c r="N11" s="106">
        <v>1000.0</v>
      </c>
      <c r="O11" s="106">
        <v>1000.0</v>
      </c>
      <c r="P11" s="106">
        <v>1000.0</v>
      </c>
      <c r="Q11" s="106">
        <v>1500.0</v>
      </c>
      <c r="R11" s="106">
        <v>1500.0</v>
      </c>
      <c r="S11" s="106">
        <v>1500.0</v>
      </c>
      <c r="T11" s="106">
        <v>1500.0</v>
      </c>
      <c r="U11" s="106">
        <v>1500.0</v>
      </c>
      <c r="V11" s="106">
        <v>1500.0</v>
      </c>
      <c r="W11" s="106">
        <v>1500.0</v>
      </c>
      <c r="X11" s="106">
        <v>1500.0</v>
      </c>
      <c r="Y11" s="106">
        <v>1500.0</v>
      </c>
      <c r="Z11" s="106">
        <v>1500.0</v>
      </c>
      <c r="AA11" s="106">
        <v>1500.0</v>
      </c>
      <c r="AB11" s="106">
        <v>2000.0</v>
      </c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</row>
    <row r="12">
      <c r="A12" s="94" t="s">
        <v>75</v>
      </c>
      <c r="B12" s="95">
        <v>75500.0</v>
      </c>
      <c r="C12" s="96" t="s">
        <v>156</v>
      </c>
      <c r="D12" s="97">
        <v>45267.0</v>
      </c>
      <c r="E12" s="98">
        <v>45300.0</v>
      </c>
      <c r="F12" s="98">
        <v>45327.0</v>
      </c>
      <c r="G12" s="98">
        <v>45359.0</v>
      </c>
      <c r="H12" s="98">
        <v>45391.0</v>
      </c>
      <c r="I12" s="98">
        <v>45422.0</v>
      </c>
      <c r="J12" s="98">
        <v>45447.0</v>
      </c>
      <c r="K12" s="98">
        <v>45488.0</v>
      </c>
      <c r="L12" s="98">
        <v>45510.0</v>
      </c>
      <c r="M12" s="98">
        <v>45545.0</v>
      </c>
      <c r="N12" s="98">
        <v>45581.0</v>
      </c>
      <c r="O12" s="98">
        <v>45603.0</v>
      </c>
      <c r="P12" s="98">
        <v>45635.0</v>
      </c>
      <c r="Q12" s="99">
        <v>45673.0</v>
      </c>
      <c r="R12" s="98">
        <v>45700.0</v>
      </c>
      <c r="S12" s="113">
        <v>45730.0</v>
      </c>
      <c r="T12" s="98">
        <v>45756.0</v>
      </c>
      <c r="U12" s="98">
        <v>45785.0</v>
      </c>
      <c r="V12" s="98">
        <v>45824.0</v>
      </c>
      <c r="W12" s="98">
        <v>45847.0</v>
      </c>
      <c r="X12" s="98">
        <v>45883.0</v>
      </c>
      <c r="Y12" s="100">
        <v>45912.0</v>
      </c>
      <c r="Z12" s="100">
        <v>45945.0</v>
      </c>
      <c r="AA12" s="101">
        <v>45971.0</v>
      </c>
      <c r="AB12" s="101">
        <v>45996.0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</row>
    <row r="13" ht="18.0" customHeight="1">
      <c r="A13" s="22"/>
      <c r="B13" s="104"/>
      <c r="C13" s="105" t="s">
        <v>157</v>
      </c>
      <c r="D13" s="105">
        <v>1000.0</v>
      </c>
      <c r="E13" s="106">
        <v>1000.0</v>
      </c>
      <c r="F13" s="106">
        <v>1000.0</v>
      </c>
      <c r="G13" s="106">
        <v>1000.0</v>
      </c>
      <c r="H13" s="106">
        <v>1000.0</v>
      </c>
      <c r="I13" s="106">
        <v>1000.0</v>
      </c>
      <c r="J13" s="106">
        <v>1000.0</v>
      </c>
      <c r="K13" s="106">
        <v>1000.0</v>
      </c>
      <c r="L13" s="106">
        <v>1000.0</v>
      </c>
      <c r="M13" s="106">
        <v>1000.0</v>
      </c>
      <c r="N13" s="106">
        <v>1000.0</v>
      </c>
      <c r="O13" s="106">
        <v>1000.0</v>
      </c>
      <c r="P13" s="106">
        <v>1000.0</v>
      </c>
      <c r="Q13" s="107">
        <v>1500.0</v>
      </c>
      <c r="R13" s="106">
        <v>1500.0</v>
      </c>
      <c r="S13" s="106">
        <v>1500.0</v>
      </c>
      <c r="T13" s="106">
        <v>1500.0</v>
      </c>
      <c r="U13" s="106">
        <v>1500.0</v>
      </c>
      <c r="V13" s="106">
        <v>1500.0</v>
      </c>
      <c r="W13" s="106">
        <v>1500.0</v>
      </c>
      <c r="X13" s="106">
        <v>1500.0</v>
      </c>
      <c r="Y13" s="106">
        <v>1500.0</v>
      </c>
      <c r="Z13" s="106">
        <v>1500.0</v>
      </c>
      <c r="AA13" s="106">
        <v>1500.0</v>
      </c>
      <c r="AB13" s="106">
        <v>2000.0</v>
      </c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</row>
    <row r="14">
      <c r="A14" s="94" t="s">
        <v>118</v>
      </c>
      <c r="B14" s="95">
        <v>52700.0</v>
      </c>
      <c r="C14" s="96" t="s">
        <v>156</v>
      </c>
      <c r="D14" s="97">
        <v>45698.0</v>
      </c>
      <c r="E14" s="98">
        <v>45726.0</v>
      </c>
      <c r="F14" s="98">
        <v>45756.0</v>
      </c>
      <c r="G14" s="98">
        <v>45789.0</v>
      </c>
      <c r="H14" s="98">
        <v>45818.0</v>
      </c>
      <c r="I14" s="98">
        <v>45847.0</v>
      </c>
      <c r="J14" s="98">
        <v>45880.0</v>
      </c>
      <c r="K14" s="98">
        <v>45908.0</v>
      </c>
      <c r="L14" s="98">
        <v>45939.0</v>
      </c>
      <c r="M14" s="101">
        <v>45971.0</v>
      </c>
      <c r="N14" s="98">
        <v>45994.0</v>
      </c>
      <c r="O14" s="98"/>
      <c r="P14" s="98"/>
      <c r="Q14" s="99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</row>
    <row r="15">
      <c r="A15" s="22"/>
      <c r="B15" s="104"/>
      <c r="C15" s="105" t="s">
        <v>157</v>
      </c>
      <c r="D15" s="105">
        <v>1000.0</v>
      </c>
      <c r="E15" s="106">
        <v>1000.0</v>
      </c>
      <c r="F15" s="106">
        <v>1000.0</v>
      </c>
      <c r="G15" s="106">
        <v>1000.0</v>
      </c>
      <c r="H15" s="106">
        <v>1000.0</v>
      </c>
      <c r="I15" s="106">
        <v>1000.0</v>
      </c>
      <c r="J15" s="106">
        <v>1000.0</v>
      </c>
      <c r="K15" s="106">
        <v>1000.0</v>
      </c>
      <c r="L15" s="106">
        <v>1000.0</v>
      </c>
      <c r="M15" s="106">
        <v>1000.0</v>
      </c>
      <c r="N15" s="106">
        <v>1000.0</v>
      </c>
      <c r="O15" s="106"/>
      <c r="P15" s="106"/>
      <c r="Q15" s="107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</row>
    <row r="16">
      <c r="A16" s="94" t="s">
        <v>88</v>
      </c>
      <c r="B16" s="95">
        <v>62143.0</v>
      </c>
      <c r="C16" s="96" t="s">
        <v>156</v>
      </c>
      <c r="D16" s="101">
        <v>45723.0</v>
      </c>
      <c r="E16" s="100">
        <v>45758.0</v>
      </c>
      <c r="F16" s="100">
        <v>45785.0</v>
      </c>
      <c r="G16" s="100">
        <v>45824.0</v>
      </c>
      <c r="H16" s="100">
        <v>45846.0</v>
      </c>
      <c r="I16" s="100">
        <v>45877.0</v>
      </c>
      <c r="J16" s="100">
        <v>45909.0</v>
      </c>
      <c r="K16" s="100">
        <v>45939.0</v>
      </c>
      <c r="L16" s="100">
        <v>45968.0</v>
      </c>
      <c r="M16" s="100">
        <v>45994.0</v>
      </c>
      <c r="N16" s="100"/>
      <c r="O16" s="100"/>
      <c r="P16" s="100"/>
      <c r="Q16" s="115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</row>
    <row r="17">
      <c r="A17" s="22"/>
      <c r="B17" s="104"/>
      <c r="C17" s="105" t="s">
        <v>157</v>
      </c>
      <c r="D17" s="105">
        <v>1000.0</v>
      </c>
      <c r="E17" s="106">
        <v>1000.0</v>
      </c>
      <c r="F17" s="106">
        <v>1000.0</v>
      </c>
      <c r="G17" s="106">
        <v>1000.0</v>
      </c>
      <c r="H17" s="106">
        <v>1000.0</v>
      </c>
      <c r="I17" s="106">
        <v>1000.0</v>
      </c>
      <c r="J17" s="106">
        <v>1000.0</v>
      </c>
      <c r="K17" s="106">
        <v>1000.0</v>
      </c>
      <c r="L17" s="106">
        <v>1000.0</v>
      </c>
      <c r="M17" s="106">
        <v>1000.0</v>
      </c>
      <c r="N17" s="106"/>
      <c r="O17" s="106"/>
      <c r="P17" s="106"/>
      <c r="Q17" s="107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</row>
    <row r="18">
      <c r="A18" s="94" t="s">
        <v>79</v>
      </c>
      <c r="B18" s="116">
        <v>45956.0</v>
      </c>
      <c r="C18" s="1" t="s">
        <v>156</v>
      </c>
      <c r="D18" s="100">
        <v>45849.0</v>
      </c>
      <c r="E18" s="101">
        <v>45877.0</v>
      </c>
      <c r="F18" s="101">
        <v>45912.0</v>
      </c>
      <c r="G18" s="101">
        <v>45946.0</v>
      </c>
      <c r="H18" s="101">
        <v>45981.0</v>
      </c>
      <c r="I18" s="101">
        <v>46002.0</v>
      </c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69"/>
    </row>
    <row r="19">
      <c r="A19" s="22"/>
      <c r="B19" s="22"/>
      <c r="C19" s="1" t="s">
        <v>157</v>
      </c>
      <c r="D19" s="106">
        <v>1000.0</v>
      </c>
      <c r="E19" s="106">
        <v>1000.0</v>
      </c>
      <c r="F19" s="105">
        <v>1000.0</v>
      </c>
      <c r="G19" s="105">
        <v>1000.0</v>
      </c>
      <c r="H19" s="105">
        <v>1000.0</v>
      </c>
      <c r="I19" s="106">
        <v>1000.0</v>
      </c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</row>
    <row r="20">
      <c r="A20" s="94" t="s">
        <v>159</v>
      </c>
      <c r="B20" s="116">
        <v>84999.0</v>
      </c>
      <c r="C20" s="1" t="s">
        <v>156</v>
      </c>
      <c r="D20" s="100">
        <v>45964.0</v>
      </c>
      <c r="E20" s="101">
        <v>45971.0</v>
      </c>
      <c r="F20" s="101">
        <v>46000.0</v>
      </c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69"/>
    </row>
    <row r="21">
      <c r="A21" s="22"/>
      <c r="B21" s="22"/>
      <c r="C21" s="1" t="s">
        <v>157</v>
      </c>
      <c r="D21" s="105">
        <v>1000.0</v>
      </c>
      <c r="E21" s="106">
        <v>1000.0</v>
      </c>
      <c r="F21" s="106">
        <v>1000.0</v>
      </c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</row>
    <row r="22">
      <c r="A22" s="119" t="s">
        <v>59</v>
      </c>
      <c r="B22" s="120">
        <v>80000.0</v>
      </c>
      <c r="C22" s="121" t="s">
        <v>156</v>
      </c>
      <c r="D22" s="100"/>
      <c r="E22" s="101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69"/>
    </row>
    <row r="23">
      <c r="A23" s="22"/>
      <c r="B23" s="22"/>
      <c r="C23" s="121" t="s">
        <v>157</v>
      </c>
      <c r="D23" s="106"/>
      <c r="E23" s="106"/>
      <c r="F23" s="105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</row>
  </sheetData>
  <mergeCells count="20">
    <mergeCell ref="A2:AM2"/>
    <mergeCell ref="C3:AM3"/>
    <mergeCell ref="A6:A7"/>
    <mergeCell ref="B6:B7"/>
    <mergeCell ref="A8:A9"/>
    <mergeCell ref="B8:B9"/>
    <mergeCell ref="B10:B11"/>
    <mergeCell ref="A18:A19"/>
    <mergeCell ref="B18:B19"/>
    <mergeCell ref="A20:A21"/>
    <mergeCell ref="B20:B21"/>
    <mergeCell ref="A22:A23"/>
    <mergeCell ref="B22:B23"/>
    <mergeCell ref="A10:A11"/>
    <mergeCell ref="A12:A13"/>
    <mergeCell ref="B12:B13"/>
    <mergeCell ref="A14:A15"/>
    <mergeCell ref="B14:B15"/>
    <mergeCell ref="A16:A17"/>
    <mergeCell ref="B16:B17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0" t="s">
        <v>153</v>
      </c>
      <c r="B1" s="5" t="s">
        <v>160</v>
      </c>
      <c r="C1" s="60">
        <v>2022.0</v>
      </c>
      <c r="D1" s="60">
        <v>2023.0</v>
      </c>
      <c r="E1" s="60">
        <v>2024.0</v>
      </c>
      <c r="F1" s="122">
        <v>2025.0</v>
      </c>
    </row>
    <row r="2">
      <c r="A2" s="123" t="s">
        <v>158</v>
      </c>
      <c r="B2" s="124">
        <v>44075.0</v>
      </c>
      <c r="C2" s="39"/>
      <c r="D2" s="39"/>
      <c r="E2" s="39"/>
      <c r="F2" s="125"/>
    </row>
    <row r="3">
      <c r="A3" s="123" t="s">
        <v>59</v>
      </c>
      <c r="B3" s="124">
        <v>44075.0</v>
      </c>
      <c r="C3" s="39"/>
      <c r="D3" s="39"/>
      <c r="E3" s="39"/>
      <c r="F3" s="68">
        <v>45902.0</v>
      </c>
    </row>
    <row r="4">
      <c r="A4" s="123" t="s">
        <v>79</v>
      </c>
      <c r="B4" s="124">
        <v>44075.0</v>
      </c>
      <c r="C4" s="39"/>
      <c r="D4" s="39"/>
      <c r="E4" s="39"/>
      <c r="F4" s="125"/>
    </row>
    <row r="5" hidden="1">
      <c r="A5" s="123" t="s">
        <v>73</v>
      </c>
      <c r="B5" s="78"/>
      <c r="C5" s="39"/>
      <c r="D5" s="57">
        <v>44986.0</v>
      </c>
      <c r="E5" s="39"/>
      <c r="F5" s="125"/>
    </row>
    <row r="6">
      <c r="A6" s="123" t="s">
        <v>75</v>
      </c>
      <c r="B6" s="124">
        <v>44075.0</v>
      </c>
      <c r="C6" s="39"/>
      <c r="D6" s="57"/>
      <c r="E6" s="57">
        <v>45292.0</v>
      </c>
      <c r="F6" s="125"/>
    </row>
    <row r="7">
      <c r="A7" s="123" t="s">
        <v>69</v>
      </c>
      <c r="B7" s="124">
        <v>44075.0</v>
      </c>
      <c r="C7" s="39"/>
      <c r="D7" s="39"/>
      <c r="E7" s="57">
        <v>45313.0</v>
      </c>
      <c r="F7" s="125"/>
    </row>
    <row r="8">
      <c r="A8" s="123" t="s">
        <v>92</v>
      </c>
      <c r="B8" s="124">
        <v>44200.0</v>
      </c>
      <c r="C8" s="39"/>
      <c r="D8" s="39"/>
      <c r="E8" s="39"/>
      <c r="F8" s="125"/>
    </row>
    <row r="9">
      <c r="A9" s="123" t="s">
        <v>96</v>
      </c>
      <c r="B9" s="124">
        <v>44228.0</v>
      </c>
      <c r="C9" s="39"/>
      <c r="D9" s="39"/>
      <c r="E9" s="39"/>
      <c r="F9" s="125"/>
    </row>
    <row r="10">
      <c r="A10" s="123" t="s">
        <v>86</v>
      </c>
      <c r="B10" s="124">
        <v>44256.0</v>
      </c>
      <c r="C10" s="57">
        <v>44727.0</v>
      </c>
      <c r="D10" s="60"/>
      <c r="E10" s="57">
        <v>45352.0</v>
      </c>
      <c r="F10" s="68">
        <v>45971.0</v>
      </c>
    </row>
    <row r="11">
      <c r="A11" s="123" t="s">
        <v>99</v>
      </c>
      <c r="B11" s="124">
        <v>44256.0</v>
      </c>
      <c r="C11" s="39"/>
      <c r="D11" s="39"/>
      <c r="E11" s="39"/>
      <c r="F11" s="125"/>
    </row>
    <row r="12">
      <c r="A12" s="123" t="s">
        <v>104</v>
      </c>
      <c r="B12" s="124">
        <v>44305.0</v>
      </c>
      <c r="C12" s="39"/>
      <c r="D12" s="39"/>
      <c r="E12" s="57">
        <v>45306.0</v>
      </c>
      <c r="F12" s="125"/>
    </row>
    <row r="13" hidden="1">
      <c r="A13" s="123" t="s">
        <v>110</v>
      </c>
      <c r="B13" s="78"/>
      <c r="C13" s="39"/>
      <c r="D13" s="39"/>
      <c r="E13" s="39"/>
      <c r="F13" s="125"/>
    </row>
    <row r="14">
      <c r="A14" s="123" t="s">
        <v>100</v>
      </c>
      <c r="B14" s="124">
        <v>44529.0</v>
      </c>
      <c r="C14" s="39"/>
      <c r="D14" s="39"/>
      <c r="E14" s="57">
        <v>45306.0</v>
      </c>
      <c r="F14" s="125"/>
    </row>
    <row r="15">
      <c r="A15" s="123" t="s">
        <v>60</v>
      </c>
      <c r="B15" s="124">
        <v>44531.0</v>
      </c>
      <c r="C15" s="57">
        <v>44920.0</v>
      </c>
      <c r="D15" s="39"/>
      <c r="E15" s="39"/>
      <c r="F15" s="125"/>
    </row>
    <row r="16">
      <c r="A16" s="123" t="s">
        <v>81</v>
      </c>
      <c r="B16" s="124">
        <v>44602.0</v>
      </c>
      <c r="C16" s="39"/>
      <c r="D16" s="39"/>
      <c r="E16" s="39"/>
      <c r="F16" s="125"/>
    </row>
    <row r="17">
      <c r="A17" s="123" t="s">
        <v>122</v>
      </c>
      <c r="B17" s="124">
        <v>44732.0</v>
      </c>
      <c r="C17" s="39"/>
      <c r="D17" s="39"/>
      <c r="E17" s="39"/>
      <c r="F17" s="125"/>
    </row>
    <row r="18">
      <c r="A18" s="123" t="s">
        <v>56</v>
      </c>
      <c r="B18" s="124">
        <v>44774.0</v>
      </c>
      <c r="C18" s="39"/>
      <c r="D18" s="39"/>
      <c r="E18" s="39"/>
      <c r="F18" s="125"/>
    </row>
    <row r="19">
      <c r="A19" s="123" t="s">
        <v>61</v>
      </c>
      <c r="B19" s="124">
        <v>45139.0</v>
      </c>
      <c r="C19" s="39"/>
      <c r="D19" s="39"/>
      <c r="E19" s="39"/>
      <c r="F19" s="68">
        <v>45985.0</v>
      </c>
    </row>
    <row r="20">
      <c r="A20" s="123" t="s">
        <v>87</v>
      </c>
      <c r="B20" s="124">
        <v>44986.0</v>
      </c>
      <c r="C20" s="39"/>
      <c r="D20" s="39"/>
      <c r="E20" s="39"/>
      <c r="F20" s="125"/>
    </row>
    <row r="21">
      <c r="A21" s="123" t="s">
        <v>88</v>
      </c>
      <c r="B21" s="124">
        <v>45022.0</v>
      </c>
      <c r="C21" s="39"/>
      <c r="D21" s="39"/>
      <c r="E21" s="39"/>
      <c r="F21" s="125"/>
    </row>
    <row r="22" hidden="1">
      <c r="A22" s="123" t="s">
        <v>131</v>
      </c>
      <c r="B22" s="78"/>
      <c r="C22" s="39"/>
      <c r="D22" s="39"/>
      <c r="E22" s="39"/>
      <c r="F22" s="125"/>
    </row>
    <row r="23">
      <c r="A23" s="123" t="s">
        <v>118</v>
      </c>
      <c r="B23" s="124">
        <v>45103.0</v>
      </c>
      <c r="C23" s="39"/>
      <c r="D23" s="39"/>
      <c r="E23" s="39"/>
      <c r="F23" s="125"/>
    </row>
    <row r="24">
      <c r="A24" s="60" t="s">
        <v>66</v>
      </c>
      <c r="B24" s="124">
        <v>45117.0</v>
      </c>
      <c r="C24" s="39"/>
      <c r="D24" s="39"/>
      <c r="E24" s="39"/>
      <c r="F24" s="125"/>
    </row>
    <row r="25">
      <c r="A25" s="60" t="s">
        <v>159</v>
      </c>
      <c r="B25" s="124">
        <v>45124.0</v>
      </c>
      <c r="C25" s="39"/>
      <c r="D25" s="39"/>
      <c r="E25" s="39"/>
      <c r="F25" s="125"/>
    </row>
    <row r="26">
      <c r="A26" s="60" t="s">
        <v>63</v>
      </c>
      <c r="B26" s="124">
        <v>45166.0</v>
      </c>
      <c r="C26" s="39"/>
      <c r="D26" s="39"/>
      <c r="E26" s="39"/>
      <c r="F26" s="125"/>
    </row>
    <row r="27">
      <c r="A27" s="60" t="s">
        <v>111</v>
      </c>
      <c r="B27" s="124">
        <v>45170.0</v>
      </c>
      <c r="C27" s="39"/>
      <c r="D27" s="39"/>
      <c r="E27" s="39"/>
      <c r="F27" s="125"/>
    </row>
    <row r="28" hidden="1">
      <c r="A28" s="60" t="s">
        <v>93</v>
      </c>
      <c r="B28" s="78"/>
      <c r="C28" s="39"/>
      <c r="D28" s="39"/>
      <c r="E28" s="39"/>
      <c r="F28" s="125"/>
    </row>
    <row r="29">
      <c r="A29" s="60" t="s">
        <v>106</v>
      </c>
      <c r="B29" s="124">
        <v>45200.0</v>
      </c>
      <c r="C29" s="39"/>
      <c r="D29" s="39"/>
      <c r="E29" s="39"/>
      <c r="F29" s="125"/>
    </row>
    <row r="30">
      <c r="A30" s="60" t="s">
        <v>76</v>
      </c>
      <c r="B30" s="124">
        <v>45264.0</v>
      </c>
      <c r="C30" s="39"/>
      <c r="D30" s="39"/>
      <c r="E30" s="39"/>
      <c r="F30" s="125"/>
    </row>
    <row r="31">
      <c r="A31" s="60" t="s">
        <v>82</v>
      </c>
      <c r="B31" s="124">
        <v>45383.0</v>
      </c>
      <c r="C31" s="39"/>
      <c r="D31" s="39"/>
      <c r="E31" s="39"/>
      <c r="F31" s="125"/>
    </row>
    <row r="32">
      <c r="A32" s="60" t="s">
        <v>132</v>
      </c>
      <c r="B32" s="124">
        <v>45383.0</v>
      </c>
      <c r="C32" s="39"/>
      <c r="D32" s="39"/>
      <c r="E32" s="39"/>
      <c r="F32" s="125"/>
    </row>
    <row r="33">
      <c r="A33" s="123" t="s">
        <v>89</v>
      </c>
      <c r="B33" s="126">
        <v>45505.0</v>
      </c>
      <c r="C33" s="39"/>
      <c r="D33" s="39"/>
      <c r="E33" s="39"/>
      <c r="F33" s="125"/>
    </row>
    <row r="34">
      <c r="A34" s="127" t="s">
        <v>64</v>
      </c>
      <c r="B34" s="128">
        <v>45536.0</v>
      </c>
      <c r="C34" s="39"/>
      <c r="D34" s="39"/>
      <c r="E34" s="39"/>
      <c r="F34" s="125"/>
    </row>
    <row r="35">
      <c r="A35" s="123" t="s">
        <v>101</v>
      </c>
      <c r="B35" s="126">
        <v>45627.0</v>
      </c>
      <c r="C35" s="39"/>
      <c r="D35" s="39"/>
      <c r="E35" s="39"/>
      <c r="F35" s="125"/>
    </row>
    <row r="36">
      <c r="A36" s="123" t="s">
        <v>125</v>
      </c>
      <c r="B36" s="126">
        <v>45642.0</v>
      </c>
      <c r="C36" s="39"/>
      <c r="D36" s="39"/>
      <c r="E36" s="39"/>
      <c r="F36" s="125"/>
    </row>
    <row r="37">
      <c r="A37" s="123" t="s">
        <v>107</v>
      </c>
      <c r="B37" s="126">
        <v>45665.0</v>
      </c>
      <c r="C37" s="39"/>
      <c r="D37" s="39"/>
      <c r="E37" s="39"/>
      <c r="F37" s="125"/>
    </row>
    <row r="38">
      <c r="A38" s="129" t="s">
        <v>121</v>
      </c>
      <c r="B38" s="130">
        <v>45691.0</v>
      </c>
      <c r="C38" s="39"/>
      <c r="D38" s="39"/>
      <c r="E38" s="39"/>
      <c r="F38" s="125"/>
    </row>
    <row r="39">
      <c r="A39" s="123" t="s">
        <v>112</v>
      </c>
      <c r="B39" s="130">
        <v>45733.0</v>
      </c>
      <c r="C39" s="39"/>
      <c r="D39" s="39"/>
      <c r="E39" s="39"/>
      <c r="F39" s="125"/>
    </row>
    <row r="40">
      <c r="A40" s="129" t="s">
        <v>123</v>
      </c>
      <c r="B40" s="130">
        <v>45733.0</v>
      </c>
      <c r="C40" s="39"/>
      <c r="D40" s="39"/>
      <c r="E40" s="39"/>
      <c r="F40" s="125"/>
    </row>
    <row r="41">
      <c r="A41" s="129" t="s">
        <v>139</v>
      </c>
      <c r="B41" s="130">
        <v>45810.0</v>
      </c>
      <c r="C41" s="39"/>
      <c r="D41" s="39"/>
      <c r="E41" s="39"/>
      <c r="F41" s="125"/>
    </row>
    <row r="42">
      <c r="A42" s="129" t="s">
        <v>127</v>
      </c>
      <c r="B42" s="130">
        <v>45810.0</v>
      </c>
      <c r="C42" s="39"/>
      <c r="D42" s="39"/>
      <c r="E42" s="39"/>
      <c r="F42" s="125"/>
    </row>
    <row r="43">
      <c r="A43" s="129" t="s">
        <v>90</v>
      </c>
      <c r="B43" s="130">
        <v>45839.0</v>
      </c>
      <c r="C43" s="39"/>
      <c r="D43" s="39"/>
      <c r="E43" s="39"/>
      <c r="F43" s="125"/>
    </row>
    <row r="44">
      <c r="A44" s="129" t="s">
        <v>108</v>
      </c>
      <c r="B44" s="130">
        <v>45839.0</v>
      </c>
      <c r="C44" s="39"/>
      <c r="D44" s="39"/>
      <c r="E44" s="39"/>
      <c r="F44" s="125"/>
    </row>
    <row r="45">
      <c r="A45" s="129" t="s">
        <v>67</v>
      </c>
      <c r="B45" s="130">
        <v>45870.0</v>
      </c>
      <c r="C45" s="39"/>
      <c r="D45" s="39"/>
      <c r="E45" s="39"/>
      <c r="F45" s="125"/>
    </row>
    <row r="46">
      <c r="A46" s="129" t="s">
        <v>91</v>
      </c>
      <c r="B46" s="130">
        <v>45875.0</v>
      </c>
      <c r="C46" s="39"/>
      <c r="D46" s="39"/>
      <c r="E46" s="39"/>
      <c r="F46" s="125"/>
    </row>
    <row r="47">
      <c r="A47" s="60" t="s">
        <v>102</v>
      </c>
      <c r="B47" s="130">
        <v>45981.0</v>
      </c>
      <c r="C47" s="39"/>
      <c r="D47" s="39"/>
      <c r="E47" s="39"/>
      <c r="F47" s="39"/>
    </row>
    <row r="48">
      <c r="B48" s="131"/>
    </row>
    <row r="49">
      <c r="B49" s="131"/>
    </row>
    <row r="50">
      <c r="B50" s="131"/>
    </row>
    <row r="51">
      <c r="B51" s="131"/>
    </row>
    <row r="52">
      <c r="B52" s="131"/>
    </row>
    <row r="53">
      <c r="B53" s="131"/>
    </row>
    <row r="54">
      <c r="B54" s="131"/>
    </row>
    <row r="55">
      <c r="B55" s="131"/>
    </row>
    <row r="56">
      <c r="B56" s="131"/>
    </row>
    <row r="57">
      <c r="B57" s="131"/>
    </row>
    <row r="58">
      <c r="B58" s="131"/>
    </row>
    <row r="59">
      <c r="B59" s="131"/>
    </row>
    <row r="60">
      <c r="B60" s="131"/>
    </row>
    <row r="61">
      <c r="B61" s="131"/>
    </row>
    <row r="62">
      <c r="B62" s="131"/>
    </row>
    <row r="63">
      <c r="B63" s="131"/>
    </row>
    <row r="64">
      <c r="B64" s="131"/>
    </row>
    <row r="65">
      <c r="B65" s="131"/>
    </row>
    <row r="66">
      <c r="B66" s="131"/>
    </row>
    <row r="67">
      <c r="B67" s="131"/>
    </row>
    <row r="68">
      <c r="B68" s="131"/>
    </row>
    <row r="69">
      <c r="B69" s="131"/>
    </row>
    <row r="70">
      <c r="B70" s="131"/>
    </row>
    <row r="71">
      <c r="B71" s="131"/>
    </row>
    <row r="72">
      <c r="B72" s="131"/>
    </row>
    <row r="73">
      <c r="B73" s="131"/>
    </row>
    <row r="74">
      <c r="B74" s="131"/>
    </row>
    <row r="75">
      <c r="B75" s="131"/>
    </row>
    <row r="76">
      <c r="B76" s="131"/>
    </row>
    <row r="77">
      <c r="B77" s="131"/>
    </row>
    <row r="78">
      <c r="B78" s="131"/>
    </row>
    <row r="79">
      <c r="B79" s="131"/>
    </row>
    <row r="80">
      <c r="B80" s="131"/>
    </row>
    <row r="81">
      <c r="B81" s="131"/>
    </row>
    <row r="82">
      <c r="B82" s="131"/>
    </row>
    <row r="83">
      <c r="B83" s="131"/>
    </row>
    <row r="84">
      <c r="B84" s="131"/>
    </row>
    <row r="85">
      <c r="B85" s="131"/>
    </row>
    <row r="86">
      <c r="B86" s="131"/>
    </row>
    <row r="87">
      <c r="B87" s="131"/>
    </row>
    <row r="88">
      <c r="B88" s="131"/>
    </row>
    <row r="89">
      <c r="B89" s="131"/>
    </row>
    <row r="90">
      <c r="B90" s="131"/>
    </row>
    <row r="91">
      <c r="B91" s="131"/>
    </row>
    <row r="92">
      <c r="B92" s="131"/>
    </row>
    <row r="93">
      <c r="B93" s="131"/>
    </row>
    <row r="94">
      <c r="B94" s="131"/>
    </row>
    <row r="95">
      <c r="B95" s="131"/>
    </row>
    <row r="96">
      <c r="B96" s="131"/>
    </row>
    <row r="97">
      <c r="B97" s="131"/>
    </row>
    <row r="98">
      <c r="B98" s="131"/>
    </row>
    <row r="99">
      <c r="B99" s="131"/>
    </row>
    <row r="100">
      <c r="B100" s="131"/>
    </row>
    <row r="101">
      <c r="B101" s="131"/>
    </row>
    <row r="102">
      <c r="B102" s="131"/>
    </row>
    <row r="103">
      <c r="B103" s="131"/>
    </row>
    <row r="104">
      <c r="B104" s="131"/>
    </row>
    <row r="105">
      <c r="B105" s="131"/>
    </row>
    <row r="106">
      <c r="B106" s="131"/>
    </row>
    <row r="107">
      <c r="B107" s="131"/>
    </row>
    <row r="108">
      <c r="B108" s="131"/>
    </row>
    <row r="109">
      <c r="B109" s="131"/>
    </row>
    <row r="110">
      <c r="B110" s="131"/>
    </row>
    <row r="111">
      <c r="B111" s="131"/>
    </row>
    <row r="112">
      <c r="B112" s="131"/>
    </row>
    <row r="113">
      <c r="B113" s="131"/>
    </row>
    <row r="114">
      <c r="B114" s="131"/>
    </row>
    <row r="115">
      <c r="B115" s="131"/>
    </row>
    <row r="116">
      <c r="B116" s="131"/>
    </row>
    <row r="117">
      <c r="B117" s="131"/>
    </row>
    <row r="118">
      <c r="B118" s="131"/>
    </row>
    <row r="119">
      <c r="B119" s="131"/>
    </row>
    <row r="120">
      <c r="B120" s="131"/>
    </row>
    <row r="121">
      <c r="B121" s="131"/>
    </row>
    <row r="122">
      <c r="B122" s="131"/>
    </row>
    <row r="123">
      <c r="B123" s="131"/>
    </row>
    <row r="124">
      <c r="B124" s="131"/>
    </row>
    <row r="125">
      <c r="B125" s="131"/>
    </row>
    <row r="126">
      <c r="B126" s="131"/>
    </row>
    <row r="127">
      <c r="B127" s="131"/>
    </row>
    <row r="128">
      <c r="B128" s="131"/>
    </row>
    <row r="129">
      <c r="B129" s="131"/>
    </row>
    <row r="130">
      <c r="B130" s="131"/>
    </row>
    <row r="131">
      <c r="B131" s="131"/>
    </row>
    <row r="132">
      <c r="B132" s="131"/>
    </row>
    <row r="133">
      <c r="B133" s="131"/>
    </row>
    <row r="134">
      <c r="B134" s="131"/>
    </row>
    <row r="135">
      <c r="B135" s="131"/>
    </row>
    <row r="136">
      <c r="B136" s="131"/>
    </row>
    <row r="137">
      <c r="B137" s="131"/>
    </row>
    <row r="138">
      <c r="B138" s="131"/>
    </row>
    <row r="139">
      <c r="B139" s="131"/>
    </row>
    <row r="140">
      <c r="B140" s="131"/>
    </row>
    <row r="141">
      <c r="B141" s="131"/>
    </row>
    <row r="142">
      <c r="B142" s="131"/>
    </row>
    <row r="143">
      <c r="B143" s="131"/>
    </row>
    <row r="144">
      <c r="B144" s="131"/>
    </row>
    <row r="145">
      <c r="B145" s="131"/>
    </row>
    <row r="146">
      <c r="B146" s="131"/>
    </row>
    <row r="147">
      <c r="B147" s="131"/>
    </row>
    <row r="148">
      <c r="B148" s="131"/>
    </row>
    <row r="149">
      <c r="B149" s="131"/>
    </row>
    <row r="150">
      <c r="B150" s="131"/>
    </row>
    <row r="151">
      <c r="B151" s="131"/>
    </row>
    <row r="152">
      <c r="B152" s="131"/>
    </row>
    <row r="153">
      <c r="B153" s="131"/>
    </row>
    <row r="154">
      <c r="B154" s="131"/>
    </row>
    <row r="155">
      <c r="B155" s="131"/>
    </row>
    <row r="156">
      <c r="B156" s="131"/>
    </row>
    <row r="157">
      <c r="B157" s="131"/>
    </row>
    <row r="158">
      <c r="B158" s="131"/>
    </row>
    <row r="159">
      <c r="B159" s="131"/>
    </row>
    <row r="160">
      <c r="B160" s="131"/>
    </row>
    <row r="161">
      <c r="B161" s="131"/>
    </row>
    <row r="162">
      <c r="B162" s="131"/>
    </row>
    <row r="163">
      <c r="B163" s="131"/>
    </row>
    <row r="164">
      <c r="B164" s="131"/>
    </row>
    <row r="165">
      <c r="B165" s="131"/>
    </row>
    <row r="166">
      <c r="B166" s="131"/>
    </row>
    <row r="167">
      <c r="B167" s="131"/>
    </row>
    <row r="168">
      <c r="B168" s="131"/>
    </row>
    <row r="169">
      <c r="B169" s="131"/>
    </row>
    <row r="170">
      <c r="B170" s="131"/>
    </row>
    <row r="171">
      <c r="B171" s="131"/>
    </row>
    <row r="172">
      <c r="B172" s="131"/>
    </row>
    <row r="173">
      <c r="B173" s="131"/>
    </row>
    <row r="174">
      <c r="B174" s="131"/>
    </row>
    <row r="175">
      <c r="B175" s="131"/>
    </row>
    <row r="176">
      <c r="B176" s="131"/>
    </row>
    <row r="177">
      <c r="B177" s="131"/>
    </row>
    <row r="178">
      <c r="B178" s="131"/>
    </row>
    <row r="179">
      <c r="B179" s="131"/>
    </row>
    <row r="180">
      <c r="B180" s="131"/>
    </row>
    <row r="181">
      <c r="B181" s="131"/>
    </row>
    <row r="182">
      <c r="B182" s="131"/>
    </row>
    <row r="183">
      <c r="B183" s="131"/>
    </row>
    <row r="184">
      <c r="B184" s="131"/>
    </row>
    <row r="185">
      <c r="B185" s="131"/>
    </row>
    <row r="186">
      <c r="B186" s="131"/>
    </row>
    <row r="187">
      <c r="B187" s="131"/>
    </row>
    <row r="188">
      <c r="B188" s="131"/>
    </row>
    <row r="189">
      <c r="B189" s="131"/>
    </row>
    <row r="190">
      <c r="B190" s="131"/>
    </row>
    <row r="191">
      <c r="B191" s="131"/>
    </row>
    <row r="192">
      <c r="B192" s="131"/>
    </row>
    <row r="193">
      <c r="B193" s="131"/>
    </row>
    <row r="194">
      <c r="B194" s="131"/>
    </row>
    <row r="195">
      <c r="B195" s="131"/>
    </row>
    <row r="196">
      <c r="B196" s="131"/>
    </row>
    <row r="197">
      <c r="B197" s="131"/>
    </row>
    <row r="198">
      <c r="B198" s="131"/>
    </row>
    <row r="199">
      <c r="B199" s="131"/>
    </row>
    <row r="200">
      <c r="B200" s="131"/>
    </row>
    <row r="201">
      <c r="B201" s="131"/>
    </row>
    <row r="202">
      <c r="B202" s="131"/>
    </row>
    <row r="203">
      <c r="B203" s="131"/>
    </row>
    <row r="204">
      <c r="B204" s="131"/>
    </row>
    <row r="205">
      <c r="B205" s="131"/>
    </row>
    <row r="206">
      <c r="B206" s="131"/>
    </row>
    <row r="207">
      <c r="B207" s="131"/>
    </row>
    <row r="208">
      <c r="B208" s="131"/>
    </row>
    <row r="209">
      <c r="B209" s="131"/>
    </row>
    <row r="210">
      <c r="B210" s="131"/>
    </row>
    <row r="211">
      <c r="B211" s="131"/>
    </row>
    <row r="212">
      <c r="B212" s="131"/>
    </row>
    <row r="213">
      <c r="B213" s="131"/>
    </row>
    <row r="214">
      <c r="B214" s="131"/>
    </row>
    <row r="215">
      <c r="B215" s="131"/>
    </row>
    <row r="216">
      <c r="B216" s="131"/>
    </row>
    <row r="217">
      <c r="B217" s="131"/>
    </row>
    <row r="218">
      <c r="B218" s="131"/>
    </row>
    <row r="219">
      <c r="B219" s="131"/>
    </row>
    <row r="220">
      <c r="B220" s="131"/>
    </row>
    <row r="221">
      <c r="B221" s="131"/>
    </row>
    <row r="222">
      <c r="B222" s="131"/>
    </row>
    <row r="223">
      <c r="B223" s="131"/>
    </row>
    <row r="224">
      <c r="B224" s="131"/>
    </row>
    <row r="225">
      <c r="B225" s="131"/>
    </row>
    <row r="226">
      <c r="B226" s="131"/>
    </row>
    <row r="227">
      <c r="B227" s="131"/>
    </row>
    <row r="228">
      <c r="B228" s="131"/>
    </row>
    <row r="229">
      <c r="B229" s="131"/>
    </row>
    <row r="230">
      <c r="B230" s="131"/>
    </row>
    <row r="231">
      <c r="B231" s="131"/>
    </row>
    <row r="232">
      <c r="B232" s="131"/>
    </row>
    <row r="233">
      <c r="B233" s="131"/>
    </row>
    <row r="234">
      <c r="B234" s="131"/>
    </row>
    <row r="235">
      <c r="B235" s="131"/>
    </row>
    <row r="236">
      <c r="B236" s="131"/>
    </row>
    <row r="237">
      <c r="B237" s="131"/>
    </row>
    <row r="238">
      <c r="B238" s="131"/>
    </row>
    <row r="239">
      <c r="B239" s="131"/>
    </row>
    <row r="240">
      <c r="B240" s="131"/>
    </row>
    <row r="241">
      <c r="B241" s="131"/>
    </row>
    <row r="242">
      <c r="B242" s="131"/>
    </row>
    <row r="243">
      <c r="B243" s="131"/>
    </row>
    <row r="244">
      <c r="B244" s="131"/>
    </row>
    <row r="245">
      <c r="B245" s="131"/>
    </row>
    <row r="246">
      <c r="B246" s="131"/>
    </row>
    <row r="247">
      <c r="B247" s="131"/>
    </row>
    <row r="248">
      <c r="B248" s="131"/>
    </row>
    <row r="249">
      <c r="B249" s="131"/>
    </row>
    <row r="250">
      <c r="B250" s="131"/>
    </row>
    <row r="251">
      <c r="B251" s="131"/>
    </row>
    <row r="252">
      <c r="B252" s="131"/>
    </row>
    <row r="253">
      <c r="B253" s="131"/>
    </row>
    <row r="254">
      <c r="B254" s="131"/>
    </row>
    <row r="255">
      <c r="B255" s="131"/>
    </row>
    <row r="256">
      <c r="B256" s="131"/>
    </row>
    <row r="257">
      <c r="B257" s="131"/>
    </row>
    <row r="258">
      <c r="B258" s="131"/>
    </row>
    <row r="259">
      <c r="B259" s="131"/>
    </row>
    <row r="260">
      <c r="B260" s="131"/>
    </row>
    <row r="261">
      <c r="B261" s="131"/>
    </row>
    <row r="262">
      <c r="B262" s="131"/>
    </row>
    <row r="263">
      <c r="B263" s="131"/>
    </row>
    <row r="264">
      <c r="B264" s="131"/>
    </row>
    <row r="265">
      <c r="B265" s="131"/>
    </row>
    <row r="266">
      <c r="B266" s="131"/>
    </row>
    <row r="267">
      <c r="B267" s="131"/>
    </row>
    <row r="268">
      <c r="B268" s="131"/>
    </row>
    <row r="269">
      <c r="B269" s="131"/>
    </row>
    <row r="270">
      <c r="B270" s="131"/>
    </row>
    <row r="271">
      <c r="B271" s="131"/>
    </row>
    <row r="272">
      <c r="B272" s="131"/>
    </row>
    <row r="273">
      <c r="B273" s="131"/>
    </row>
    <row r="274">
      <c r="B274" s="131"/>
    </row>
    <row r="275">
      <c r="B275" s="131"/>
    </row>
    <row r="276">
      <c r="B276" s="131"/>
    </row>
    <row r="277">
      <c r="B277" s="131"/>
    </row>
    <row r="278">
      <c r="B278" s="131"/>
    </row>
    <row r="279">
      <c r="B279" s="131"/>
    </row>
    <row r="280">
      <c r="B280" s="131"/>
    </row>
    <row r="281">
      <c r="B281" s="131"/>
    </row>
    <row r="282">
      <c r="B282" s="131"/>
    </row>
    <row r="283">
      <c r="B283" s="131"/>
    </row>
    <row r="284">
      <c r="B284" s="131"/>
    </row>
    <row r="285">
      <c r="B285" s="131"/>
    </row>
    <row r="286">
      <c r="B286" s="131"/>
    </row>
    <row r="287">
      <c r="B287" s="131"/>
    </row>
    <row r="288">
      <c r="B288" s="131"/>
    </row>
    <row r="289">
      <c r="B289" s="131"/>
    </row>
    <row r="290">
      <c r="B290" s="131"/>
    </row>
    <row r="291">
      <c r="B291" s="131"/>
    </row>
    <row r="292">
      <c r="B292" s="131"/>
    </row>
    <row r="293">
      <c r="B293" s="131"/>
    </row>
    <row r="294">
      <c r="B294" s="131"/>
    </row>
    <row r="295">
      <c r="B295" s="131"/>
    </row>
    <row r="296">
      <c r="B296" s="131"/>
    </row>
    <row r="297">
      <c r="B297" s="131"/>
    </row>
    <row r="298">
      <c r="B298" s="131"/>
    </row>
    <row r="299">
      <c r="B299" s="131"/>
    </row>
    <row r="300">
      <c r="B300" s="131"/>
    </row>
    <row r="301">
      <c r="B301" s="131"/>
    </row>
    <row r="302">
      <c r="B302" s="131"/>
    </row>
    <row r="303">
      <c r="B303" s="131"/>
    </row>
    <row r="304">
      <c r="B304" s="131"/>
    </row>
    <row r="305">
      <c r="B305" s="131"/>
    </row>
    <row r="306">
      <c r="B306" s="131"/>
    </row>
    <row r="307">
      <c r="B307" s="131"/>
    </row>
    <row r="308">
      <c r="B308" s="131"/>
    </row>
    <row r="309">
      <c r="B309" s="131"/>
    </row>
    <row r="310">
      <c r="B310" s="131"/>
    </row>
    <row r="311">
      <c r="B311" s="131"/>
    </row>
    <row r="312">
      <c r="B312" s="131"/>
    </row>
    <row r="313">
      <c r="B313" s="131"/>
    </row>
    <row r="314">
      <c r="B314" s="131"/>
    </row>
    <row r="315">
      <c r="B315" s="131"/>
    </row>
    <row r="316">
      <c r="B316" s="131"/>
    </row>
    <row r="317">
      <c r="B317" s="131"/>
    </row>
    <row r="318">
      <c r="B318" s="131"/>
    </row>
    <row r="319">
      <c r="B319" s="131"/>
    </row>
    <row r="320">
      <c r="B320" s="131"/>
    </row>
    <row r="321">
      <c r="B321" s="131"/>
    </row>
    <row r="322">
      <c r="B322" s="131"/>
    </row>
    <row r="323">
      <c r="B323" s="131"/>
    </row>
    <row r="324">
      <c r="B324" s="131"/>
    </row>
    <row r="325">
      <c r="B325" s="131"/>
    </row>
    <row r="326">
      <c r="B326" s="131"/>
    </row>
    <row r="327">
      <c r="B327" s="131"/>
    </row>
    <row r="328">
      <c r="B328" s="131"/>
    </row>
    <row r="329">
      <c r="B329" s="131"/>
    </row>
    <row r="330">
      <c r="B330" s="131"/>
    </row>
    <row r="331">
      <c r="B331" s="131"/>
    </row>
    <row r="332">
      <c r="B332" s="131"/>
    </row>
    <row r="333">
      <c r="B333" s="131"/>
    </row>
    <row r="334">
      <c r="B334" s="131"/>
    </row>
    <row r="335">
      <c r="B335" s="131"/>
    </row>
    <row r="336">
      <c r="B336" s="131"/>
    </row>
    <row r="337">
      <c r="B337" s="131"/>
    </row>
    <row r="338">
      <c r="B338" s="131"/>
    </row>
    <row r="339">
      <c r="B339" s="131"/>
    </row>
    <row r="340">
      <c r="B340" s="131"/>
    </row>
    <row r="341">
      <c r="B341" s="131"/>
    </row>
    <row r="342">
      <c r="B342" s="131"/>
    </row>
    <row r="343">
      <c r="B343" s="131"/>
    </row>
    <row r="344">
      <c r="B344" s="131"/>
    </row>
    <row r="345">
      <c r="B345" s="131"/>
    </row>
    <row r="346">
      <c r="B346" s="131"/>
    </row>
    <row r="347">
      <c r="B347" s="131"/>
    </row>
    <row r="348">
      <c r="B348" s="131"/>
    </row>
    <row r="349">
      <c r="B349" s="131"/>
    </row>
    <row r="350">
      <c r="B350" s="131"/>
    </row>
    <row r="351">
      <c r="B351" s="131"/>
    </row>
    <row r="352">
      <c r="B352" s="131"/>
    </row>
    <row r="353">
      <c r="B353" s="131"/>
    </row>
    <row r="354">
      <c r="B354" s="131"/>
    </row>
    <row r="355">
      <c r="B355" s="131"/>
    </row>
    <row r="356">
      <c r="B356" s="131"/>
    </row>
    <row r="357">
      <c r="B357" s="131"/>
    </row>
    <row r="358">
      <c r="B358" s="131"/>
    </row>
    <row r="359">
      <c r="B359" s="131"/>
    </row>
    <row r="360">
      <c r="B360" s="131"/>
    </row>
    <row r="361">
      <c r="B361" s="131"/>
    </row>
    <row r="362">
      <c r="B362" s="131"/>
    </row>
    <row r="363">
      <c r="B363" s="131"/>
    </row>
    <row r="364">
      <c r="B364" s="131"/>
    </row>
    <row r="365">
      <c r="B365" s="131"/>
    </row>
    <row r="366">
      <c r="B366" s="131"/>
    </row>
    <row r="367">
      <c r="B367" s="131"/>
    </row>
    <row r="368">
      <c r="B368" s="131"/>
    </row>
    <row r="369">
      <c r="B369" s="131"/>
    </row>
    <row r="370">
      <c r="B370" s="131"/>
    </row>
    <row r="371">
      <c r="B371" s="131"/>
    </row>
    <row r="372">
      <c r="B372" s="131"/>
    </row>
    <row r="373">
      <c r="B373" s="131"/>
    </row>
    <row r="374">
      <c r="B374" s="131"/>
    </row>
    <row r="375">
      <c r="B375" s="131"/>
    </row>
    <row r="376">
      <c r="B376" s="131"/>
    </row>
    <row r="377">
      <c r="B377" s="131"/>
    </row>
    <row r="378">
      <c r="B378" s="131"/>
    </row>
    <row r="379">
      <c r="B379" s="131"/>
    </row>
    <row r="380">
      <c r="B380" s="131"/>
    </row>
    <row r="381">
      <c r="B381" s="131"/>
    </row>
    <row r="382">
      <c r="B382" s="131"/>
    </row>
    <row r="383">
      <c r="B383" s="131"/>
    </row>
    <row r="384">
      <c r="B384" s="131"/>
    </row>
    <row r="385">
      <c r="B385" s="131"/>
    </row>
    <row r="386">
      <c r="B386" s="131"/>
    </row>
    <row r="387">
      <c r="B387" s="131"/>
    </row>
    <row r="388">
      <c r="B388" s="131"/>
    </row>
    <row r="389">
      <c r="B389" s="131"/>
    </row>
    <row r="390">
      <c r="B390" s="131"/>
    </row>
    <row r="391">
      <c r="B391" s="131"/>
    </row>
    <row r="392">
      <c r="B392" s="131"/>
    </row>
    <row r="393">
      <c r="B393" s="131"/>
    </row>
    <row r="394">
      <c r="B394" s="131"/>
    </row>
    <row r="395">
      <c r="B395" s="131"/>
    </row>
    <row r="396">
      <c r="B396" s="131"/>
    </row>
    <row r="397">
      <c r="B397" s="131"/>
    </row>
    <row r="398">
      <c r="B398" s="131"/>
    </row>
    <row r="399">
      <c r="B399" s="131"/>
    </row>
    <row r="400">
      <c r="B400" s="131"/>
    </row>
    <row r="401">
      <c r="B401" s="131"/>
    </row>
    <row r="402">
      <c r="B402" s="131"/>
    </row>
    <row r="403">
      <c r="B403" s="131"/>
    </row>
    <row r="404">
      <c r="B404" s="131"/>
    </row>
    <row r="405">
      <c r="B405" s="131"/>
    </row>
    <row r="406">
      <c r="B406" s="131"/>
    </row>
    <row r="407">
      <c r="B407" s="131"/>
    </row>
    <row r="408">
      <c r="B408" s="131"/>
    </row>
    <row r="409">
      <c r="B409" s="131"/>
    </row>
    <row r="410">
      <c r="B410" s="131"/>
    </row>
    <row r="411">
      <c r="B411" s="131"/>
    </row>
    <row r="412">
      <c r="B412" s="131"/>
    </row>
    <row r="413">
      <c r="B413" s="131"/>
    </row>
    <row r="414">
      <c r="B414" s="131"/>
    </row>
    <row r="415">
      <c r="B415" s="131"/>
    </row>
    <row r="416">
      <c r="B416" s="131"/>
    </row>
    <row r="417">
      <c r="B417" s="131"/>
    </row>
    <row r="418">
      <c r="B418" s="131"/>
    </row>
    <row r="419">
      <c r="B419" s="131"/>
    </row>
    <row r="420">
      <c r="B420" s="131"/>
    </row>
    <row r="421">
      <c r="B421" s="131"/>
    </row>
    <row r="422">
      <c r="B422" s="131"/>
    </row>
    <row r="423">
      <c r="B423" s="131"/>
    </row>
    <row r="424">
      <c r="B424" s="131"/>
    </row>
    <row r="425">
      <c r="B425" s="131"/>
    </row>
    <row r="426">
      <c r="B426" s="131"/>
    </row>
    <row r="427">
      <c r="B427" s="131"/>
    </row>
    <row r="428">
      <c r="B428" s="131"/>
    </row>
    <row r="429">
      <c r="B429" s="131"/>
    </row>
    <row r="430">
      <c r="B430" s="131"/>
    </row>
    <row r="431">
      <c r="B431" s="131"/>
    </row>
    <row r="432">
      <c r="B432" s="131"/>
    </row>
    <row r="433">
      <c r="B433" s="131"/>
    </row>
    <row r="434">
      <c r="B434" s="131"/>
    </row>
    <row r="435">
      <c r="B435" s="131"/>
    </row>
    <row r="436">
      <c r="B436" s="131"/>
    </row>
    <row r="437">
      <c r="B437" s="131"/>
    </row>
    <row r="438">
      <c r="B438" s="131"/>
    </row>
    <row r="439">
      <c r="B439" s="131"/>
    </row>
    <row r="440">
      <c r="B440" s="131"/>
    </row>
    <row r="441">
      <c r="B441" s="131"/>
    </row>
    <row r="442">
      <c r="B442" s="131"/>
    </row>
    <row r="443">
      <c r="B443" s="131"/>
    </row>
    <row r="444">
      <c r="B444" s="131"/>
    </row>
    <row r="445">
      <c r="B445" s="131"/>
    </row>
    <row r="446">
      <c r="B446" s="131"/>
    </row>
    <row r="447">
      <c r="B447" s="131"/>
    </row>
    <row r="448">
      <c r="B448" s="131"/>
    </row>
    <row r="449">
      <c r="B449" s="131"/>
    </row>
    <row r="450">
      <c r="B450" s="131"/>
    </row>
    <row r="451">
      <c r="B451" s="131"/>
    </row>
    <row r="452">
      <c r="B452" s="131"/>
    </row>
    <row r="453">
      <c r="B453" s="131"/>
    </row>
    <row r="454">
      <c r="B454" s="131"/>
    </row>
    <row r="455">
      <c r="B455" s="131"/>
    </row>
    <row r="456">
      <c r="B456" s="131"/>
    </row>
    <row r="457">
      <c r="B457" s="131"/>
    </row>
    <row r="458">
      <c r="B458" s="131"/>
    </row>
    <row r="459">
      <c r="B459" s="131"/>
    </row>
    <row r="460">
      <c r="B460" s="131"/>
    </row>
    <row r="461">
      <c r="B461" s="131"/>
    </row>
    <row r="462">
      <c r="B462" s="131"/>
    </row>
    <row r="463">
      <c r="B463" s="131"/>
    </row>
    <row r="464">
      <c r="B464" s="131"/>
    </row>
    <row r="465">
      <c r="B465" s="131"/>
    </row>
    <row r="466">
      <c r="B466" s="131"/>
    </row>
    <row r="467">
      <c r="B467" s="131"/>
    </row>
    <row r="468">
      <c r="B468" s="131"/>
    </row>
    <row r="469">
      <c r="B469" s="131"/>
    </row>
    <row r="470">
      <c r="B470" s="131"/>
    </row>
    <row r="471">
      <c r="B471" s="131"/>
    </row>
    <row r="472">
      <c r="B472" s="131"/>
    </row>
    <row r="473">
      <c r="B473" s="131"/>
    </row>
    <row r="474">
      <c r="B474" s="131"/>
    </row>
    <row r="475">
      <c r="B475" s="131"/>
    </row>
    <row r="476">
      <c r="B476" s="131"/>
    </row>
    <row r="477">
      <c r="B477" s="131"/>
    </row>
    <row r="478">
      <c r="B478" s="131"/>
    </row>
    <row r="479">
      <c r="B479" s="131"/>
    </row>
    <row r="480">
      <c r="B480" s="131"/>
    </row>
    <row r="481">
      <c r="B481" s="131"/>
    </row>
    <row r="482">
      <c r="B482" s="131"/>
    </row>
    <row r="483">
      <c r="B483" s="131"/>
    </row>
    <row r="484">
      <c r="B484" s="131"/>
    </row>
    <row r="485">
      <c r="B485" s="131"/>
    </row>
    <row r="486">
      <c r="B486" s="131"/>
    </row>
    <row r="487">
      <c r="B487" s="131"/>
    </row>
    <row r="488">
      <c r="B488" s="131"/>
    </row>
    <row r="489">
      <c r="B489" s="131"/>
    </row>
    <row r="490">
      <c r="B490" s="131"/>
    </row>
    <row r="491">
      <c r="B491" s="131"/>
    </row>
    <row r="492">
      <c r="B492" s="131"/>
    </row>
    <row r="493">
      <c r="B493" s="131"/>
    </row>
    <row r="494">
      <c r="B494" s="131"/>
    </row>
    <row r="495">
      <c r="B495" s="131"/>
    </row>
    <row r="496">
      <c r="B496" s="131"/>
    </row>
    <row r="497">
      <c r="B497" s="131"/>
    </row>
    <row r="498">
      <c r="B498" s="131"/>
    </row>
    <row r="499">
      <c r="B499" s="131"/>
    </row>
    <row r="500">
      <c r="B500" s="131"/>
    </row>
    <row r="501">
      <c r="B501" s="131"/>
    </row>
    <row r="502">
      <c r="B502" s="131"/>
    </row>
    <row r="503">
      <c r="B503" s="131"/>
    </row>
    <row r="504">
      <c r="B504" s="131"/>
    </row>
    <row r="505">
      <c r="B505" s="131"/>
    </row>
    <row r="506">
      <c r="B506" s="131"/>
    </row>
    <row r="507">
      <c r="B507" s="131"/>
    </row>
    <row r="508">
      <c r="B508" s="131"/>
    </row>
    <row r="509">
      <c r="B509" s="131"/>
    </row>
    <row r="510">
      <c r="B510" s="131"/>
    </row>
    <row r="511">
      <c r="B511" s="131"/>
    </row>
    <row r="512">
      <c r="B512" s="131"/>
    </row>
    <row r="513">
      <c r="B513" s="131"/>
    </row>
    <row r="514">
      <c r="B514" s="131"/>
    </row>
    <row r="515">
      <c r="B515" s="131"/>
    </row>
    <row r="516">
      <c r="B516" s="131"/>
    </row>
    <row r="517">
      <c r="B517" s="131"/>
    </row>
    <row r="518">
      <c r="B518" s="131"/>
    </row>
    <row r="519">
      <c r="B519" s="131"/>
    </row>
    <row r="520">
      <c r="B520" s="131"/>
    </row>
    <row r="521">
      <c r="B521" s="131"/>
    </row>
    <row r="522">
      <c r="B522" s="131"/>
    </row>
    <row r="523">
      <c r="B523" s="131"/>
    </row>
    <row r="524">
      <c r="B524" s="131"/>
    </row>
    <row r="525">
      <c r="B525" s="131"/>
    </row>
    <row r="526">
      <c r="B526" s="131"/>
    </row>
    <row r="527">
      <c r="B527" s="131"/>
    </row>
    <row r="528">
      <c r="B528" s="131"/>
    </row>
    <row r="529">
      <c r="B529" s="131"/>
    </row>
    <row r="530">
      <c r="B530" s="131"/>
    </row>
    <row r="531">
      <c r="B531" s="131"/>
    </row>
    <row r="532">
      <c r="B532" s="131"/>
    </row>
    <row r="533">
      <c r="B533" s="131"/>
    </row>
    <row r="534">
      <c r="B534" s="131"/>
    </row>
    <row r="535">
      <c r="B535" s="131"/>
    </row>
    <row r="536">
      <c r="B536" s="131"/>
    </row>
    <row r="537">
      <c r="B537" s="131"/>
    </row>
    <row r="538">
      <c r="B538" s="131"/>
    </row>
    <row r="539">
      <c r="B539" s="131"/>
    </row>
    <row r="540">
      <c r="B540" s="131"/>
    </row>
    <row r="541">
      <c r="B541" s="131"/>
    </row>
    <row r="542">
      <c r="B542" s="131"/>
    </row>
    <row r="543">
      <c r="B543" s="131"/>
    </row>
    <row r="544">
      <c r="B544" s="131"/>
    </row>
    <row r="545">
      <c r="B545" s="131"/>
    </row>
    <row r="546">
      <c r="B546" s="131"/>
    </row>
    <row r="547">
      <c r="B547" s="131"/>
    </row>
    <row r="548">
      <c r="B548" s="131"/>
    </row>
    <row r="549">
      <c r="B549" s="131"/>
    </row>
    <row r="550">
      <c r="B550" s="131"/>
    </row>
    <row r="551">
      <c r="B551" s="131"/>
    </row>
    <row r="552">
      <c r="B552" s="131"/>
    </row>
    <row r="553">
      <c r="B553" s="131"/>
    </row>
    <row r="554">
      <c r="B554" s="131"/>
    </row>
    <row r="555">
      <c r="B555" s="131"/>
    </row>
    <row r="556">
      <c r="B556" s="131"/>
    </row>
    <row r="557">
      <c r="B557" s="131"/>
    </row>
    <row r="558">
      <c r="B558" s="131"/>
    </row>
    <row r="559">
      <c r="B559" s="131"/>
    </row>
    <row r="560">
      <c r="B560" s="131"/>
    </row>
    <row r="561">
      <c r="B561" s="131"/>
    </row>
    <row r="562">
      <c r="B562" s="131"/>
    </row>
    <row r="563">
      <c r="B563" s="131"/>
    </row>
    <row r="564">
      <c r="B564" s="131"/>
    </row>
    <row r="565">
      <c r="B565" s="131"/>
    </row>
    <row r="566">
      <c r="B566" s="131"/>
    </row>
    <row r="567">
      <c r="B567" s="131"/>
    </row>
    <row r="568">
      <c r="B568" s="131"/>
    </row>
    <row r="569">
      <c r="B569" s="131"/>
    </row>
    <row r="570">
      <c r="B570" s="131"/>
    </row>
    <row r="571">
      <c r="B571" s="131"/>
    </row>
    <row r="572">
      <c r="B572" s="131"/>
    </row>
    <row r="573">
      <c r="B573" s="131"/>
    </row>
    <row r="574">
      <c r="B574" s="131"/>
    </row>
    <row r="575">
      <c r="B575" s="131"/>
    </row>
    <row r="576">
      <c r="B576" s="131"/>
    </row>
    <row r="577">
      <c r="B577" s="131"/>
    </row>
    <row r="578">
      <c r="B578" s="131"/>
    </row>
    <row r="579">
      <c r="B579" s="131"/>
    </row>
    <row r="580">
      <c r="B580" s="131"/>
    </row>
    <row r="581">
      <c r="B581" s="131"/>
    </row>
    <row r="582">
      <c r="B582" s="131"/>
    </row>
    <row r="583">
      <c r="B583" s="131"/>
    </row>
    <row r="584">
      <c r="B584" s="131"/>
    </row>
    <row r="585">
      <c r="B585" s="131"/>
    </row>
    <row r="586">
      <c r="B586" s="131"/>
    </row>
    <row r="587">
      <c r="B587" s="131"/>
    </row>
    <row r="588">
      <c r="B588" s="131"/>
    </row>
    <row r="589">
      <c r="B589" s="131"/>
    </row>
    <row r="590">
      <c r="B590" s="131"/>
    </row>
    <row r="591">
      <c r="B591" s="131"/>
    </row>
    <row r="592">
      <c r="B592" s="131"/>
    </row>
    <row r="593">
      <c r="B593" s="131"/>
    </row>
    <row r="594">
      <c r="B594" s="131"/>
    </row>
    <row r="595">
      <c r="B595" s="131"/>
    </row>
    <row r="596">
      <c r="B596" s="131"/>
    </row>
    <row r="597">
      <c r="B597" s="131"/>
    </row>
    <row r="598">
      <c r="B598" s="131"/>
    </row>
    <row r="599">
      <c r="B599" s="131"/>
    </row>
    <row r="600">
      <c r="B600" s="131"/>
    </row>
    <row r="601">
      <c r="B601" s="131"/>
    </row>
    <row r="602">
      <c r="B602" s="131"/>
    </row>
    <row r="603">
      <c r="B603" s="131"/>
    </row>
    <row r="604">
      <c r="B604" s="131"/>
    </row>
    <row r="605">
      <c r="B605" s="131"/>
    </row>
    <row r="606">
      <c r="B606" s="131"/>
    </row>
    <row r="607">
      <c r="B607" s="131"/>
    </row>
    <row r="608">
      <c r="B608" s="131"/>
    </row>
    <row r="609">
      <c r="B609" s="131"/>
    </row>
    <row r="610">
      <c r="B610" s="131"/>
    </row>
    <row r="611">
      <c r="B611" s="131"/>
    </row>
    <row r="612">
      <c r="B612" s="131"/>
    </row>
    <row r="613">
      <c r="B613" s="131"/>
    </row>
    <row r="614">
      <c r="B614" s="131"/>
    </row>
    <row r="615">
      <c r="B615" s="131"/>
    </row>
    <row r="616">
      <c r="B616" s="131"/>
    </row>
    <row r="617">
      <c r="B617" s="131"/>
    </row>
    <row r="618">
      <c r="B618" s="131"/>
    </row>
    <row r="619">
      <c r="B619" s="131"/>
    </row>
    <row r="620">
      <c r="B620" s="131"/>
    </row>
    <row r="621">
      <c r="B621" s="131"/>
    </row>
    <row r="622">
      <c r="B622" s="131"/>
    </row>
    <row r="623">
      <c r="B623" s="131"/>
    </row>
    <row r="624">
      <c r="B624" s="131"/>
    </row>
    <row r="625">
      <c r="B625" s="131"/>
    </row>
    <row r="626">
      <c r="B626" s="131"/>
    </row>
    <row r="627">
      <c r="B627" s="131"/>
    </row>
    <row r="628">
      <c r="B628" s="131"/>
    </row>
    <row r="629">
      <c r="B629" s="131"/>
    </row>
    <row r="630">
      <c r="B630" s="131"/>
    </row>
    <row r="631">
      <c r="B631" s="131"/>
    </row>
    <row r="632">
      <c r="B632" s="131"/>
    </row>
    <row r="633">
      <c r="B633" s="131"/>
    </row>
    <row r="634">
      <c r="B634" s="131"/>
    </row>
    <row r="635">
      <c r="B635" s="131"/>
    </row>
    <row r="636">
      <c r="B636" s="131"/>
    </row>
    <row r="637">
      <c r="B637" s="131"/>
    </row>
    <row r="638">
      <c r="B638" s="131"/>
    </row>
    <row r="639">
      <c r="B639" s="131"/>
    </row>
    <row r="640">
      <c r="B640" s="131"/>
    </row>
    <row r="641">
      <c r="B641" s="131"/>
    </row>
    <row r="642">
      <c r="B642" s="131"/>
    </row>
    <row r="643">
      <c r="B643" s="131"/>
    </row>
    <row r="644">
      <c r="B644" s="131"/>
    </row>
    <row r="645">
      <c r="B645" s="131"/>
    </row>
    <row r="646">
      <c r="B646" s="131"/>
    </row>
    <row r="647">
      <c r="B647" s="131"/>
    </row>
    <row r="648">
      <c r="B648" s="131"/>
    </row>
    <row r="649">
      <c r="B649" s="131"/>
    </row>
    <row r="650">
      <c r="B650" s="131"/>
    </row>
    <row r="651">
      <c r="B651" s="131"/>
    </row>
    <row r="652">
      <c r="B652" s="131"/>
    </row>
    <row r="653">
      <c r="B653" s="131"/>
    </row>
    <row r="654">
      <c r="B654" s="131"/>
    </row>
    <row r="655">
      <c r="B655" s="131"/>
    </row>
    <row r="656">
      <c r="B656" s="131"/>
    </row>
    <row r="657">
      <c r="B657" s="131"/>
    </row>
    <row r="658">
      <c r="B658" s="131"/>
    </row>
    <row r="659">
      <c r="B659" s="131"/>
    </row>
    <row r="660">
      <c r="B660" s="131"/>
    </row>
    <row r="661">
      <c r="B661" s="131"/>
    </row>
    <row r="662">
      <c r="B662" s="131"/>
    </row>
    <row r="663">
      <c r="B663" s="131"/>
    </row>
    <row r="664">
      <c r="B664" s="131"/>
    </row>
    <row r="665">
      <c r="B665" s="131"/>
    </row>
    <row r="666">
      <c r="B666" s="131"/>
    </row>
    <row r="667">
      <c r="B667" s="131"/>
    </row>
    <row r="668">
      <c r="B668" s="131"/>
    </row>
    <row r="669">
      <c r="B669" s="131"/>
    </row>
    <row r="670">
      <c r="B670" s="131"/>
    </row>
    <row r="671">
      <c r="B671" s="131"/>
    </row>
    <row r="672">
      <c r="B672" s="131"/>
    </row>
    <row r="673">
      <c r="B673" s="131"/>
    </row>
    <row r="674">
      <c r="B674" s="131"/>
    </row>
    <row r="675">
      <c r="B675" s="131"/>
    </row>
    <row r="676">
      <c r="B676" s="131"/>
    </row>
    <row r="677">
      <c r="B677" s="131"/>
    </row>
    <row r="678">
      <c r="B678" s="131"/>
    </row>
    <row r="679">
      <c r="B679" s="131"/>
    </row>
    <row r="680">
      <c r="B680" s="131"/>
    </row>
    <row r="681">
      <c r="B681" s="131"/>
    </row>
    <row r="682">
      <c r="B682" s="131"/>
    </row>
    <row r="683">
      <c r="B683" s="131"/>
    </row>
    <row r="684">
      <c r="B684" s="131"/>
    </row>
    <row r="685">
      <c r="B685" s="131"/>
    </row>
    <row r="686">
      <c r="B686" s="131"/>
    </row>
    <row r="687">
      <c r="B687" s="131"/>
    </row>
    <row r="688">
      <c r="B688" s="131"/>
    </row>
    <row r="689">
      <c r="B689" s="131"/>
    </row>
    <row r="690">
      <c r="B690" s="131"/>
    </row>
    <row r="691">
      <c r="B691" s="131"/>
    </row>
    <row r="692">
      <c r="B692" s="131"/>
    </row>
    <row r="693">
      <c r="B693" s="131"/>
    </row>
    <row r="694">
      <c r="B694" s="131"/>
    </row>
    <row r="695">
      <c r="B695" s="131"/>
    </row>
    <row r="696">
      <c r="B696" s="131"/>
    </row>
    <row r="697">
      <c r="B697" s="131"/>
    </row>
    <row r="698">
      <c r="B698" s="131"/>
    </row>
    <row r="699">
      <c r="B699" s="131"/>
    </row>
    <row r="700">
      <c r="B700" s="131"/>
    </row>
    <row r="701">
      <c r="B701" s="131"/>
    </row>
    <row r="702">
      <c r="B702" s="131"/>
    </row>
    <row r="703">
      <c r="B703" s="131"/>
    </row>
    <row r="704">
      <c r="B704" s="131"/>
    </row>
    <row r="705">
      <c r="B705" s="131"/>
    </row>
    <row r="706">
      <c r="B706" s="131"/>
    </row>
    <row r="707">
      <c r="B707" s="131"/>
    </row>
    <row r="708">
      <c r="B708" s="131"/>
    </row>
    <row r="709">
      <c r="B709" s="131"/>
    </row>
    <row r="710">
      <c r="B710" s="131"/>
    </row>
    <row r="711">
      <c r="B711" s="131"/>
    </row>
    <row r="712">
      <c r="B712" s="131"/>
    </row>
    <row r="713">
      <c r="B713" s="131"/>
    </row>
    <row r="714">
      <c r="B714" s="131"/>
    </row>
    <row r="715">
      <c r="B715" s="131"/>
    </row>
    <row r="716">
      <c r="B716" s="131"/>
    </row>
    <row r="717">
      <c r="B717" s="131"/>
    </row>
    <row r="718">
      <c r="B718" s="131"/>
    </row>
    <row r="719">
      <c r="B719" s="131"/>
    </row>
    <row r="720">
      <c r="B720" s="131"/>
    </row>
    <row r="721">
      <c r="B721" s="131"/>
    </row>
    <row r="722">
      <c r="B722" s="131"/>
    </row>
    <row r="723">
      <c r="B723" s="131"/>
    </row>
    <row r="724">
      <c r="B724" s="131"/>
    </row>
    <row r="725">
      <c r="B725" s="131"/>
    </row>
    <row r="726">
      <c r="B726" s="131"/>
    </row>
    <row r="727">
      <c r="B727" s="131"/>
    </row>
    <row r="728">
      <c r="B728" s="131"/>
    </row>
    <row r="729">
      <c r="B729" s="131"/>
    </row>
    <row r="730">
      <c r="B730" s="131"/>
    </row>
    <row r="731">
      <c r="B731" s="131"/>
    </row>
    <row r="732">
      <c r="B732" s="131"/>
    </row>
    <row r="733">
      <c r="B733" s="131"/>
    </row>
    <row r="734">
      <c r="B734" s="131"/>
    </row>
    <row r="735">
      <c r="B735" s="131"/>
    </row>
    <row r="736">
      <c r="B736" s="131"/>
    </row>
    <row r="737">
      <c r="B737" s="131"/>
    </row>
    <row r="738">
      <c r="B738" s="131"/>
    </row>
    <row r="739">
      <c r="B739" s="131"/>
    </row>
    <row r="740">
      <c r="B740" s="131"/>
    </row>
    <row r="741">
      <c r="B741" s="131"/>
    </row>
    <row r="742">
      <c r="B742" s="131"/>
    </row>
    <row r="743">
      <c r="B743" s="131"/>
    </row>
    <row r="744">
      <c r="B744" s="131"/>
    </row>
    <row r="745">
      <c r="B745" s="131"/>
    </row>
    <row r="746">
      <c r="B746" s="131"/>
    </row>
    <row r="747">
      <c r="B747" s="131"/>
    </row>
    <row r="748">
      <c r="B748" s="131"/>
    </row>
    <row r="749">
      <c r="B749" s="131"/>
    </row>
    <row r="750">
      <c r="B750" s="131"/>
    </row>
    <row r="751">
      <c r="B751" s="131"/>
    </row>
    <row r="752">
      <c r="B752" s="131"/>
    </row>
    <row r="753">
      <c r="B753" s="131"/>
    </row>
    <row r="754">
      <c r="B754" s="131"/>
    </row>
    <row r="755">
      <c r="B755" s="131"/>
    </row>
    <row r="756">
      <c r="B756" s="131"/>
    </row>
    <row r="757">
      <c r="B757" s="131"/>
    </row>
    <row r="758">
      <c r="B758" s="131"/>
    </row>
    <row r="759">
      <c r="B759" s="131"/>
    </row>
    <row r="760">
      <c r="B760" s="131"/>
    </row>
    <row r="761">
      <c r="B761" s="131"/>
    </row>
    <row r="762">
      <c r="B762" s="131"/>
    </row>
    <row r="763">
      <c r="B763" s="131"/>
    </row>
    <row r="764">
      <c r="B764" s="131"/>
    </row>
    <row r="765">
      <c r="B765" s="131"/>
    </row>
    <row r="766">
      <c r="B766" s="131"/>
    </row>
    <row r="767">
      <c r="B767" s="131"/>
    </row>
    <row r="768">
      <c r="B768" s="131"/>
    </row>
    <row r="769">
      <c r="B769" s="131"/>
    </row>
    <row r="770">
      <c r="B770" s="131"/>
    </row>
    <row r="771">
      <c r="B771" s="131"/>
    </row>
    <row r="772">
      <c r="B772" s="131"/>
    </row>
    <row r="773">
      <c r="B773" s="131"/>
    </row>
    <row r="774">
      <c r="B774" s="131"/>
    </row>
    <row r="775">
      <c r="B775" s="131"/>
    </row>
    <row r="776">
      <c r="B776" s="131"/>
    </row>
    <row r="777">
      <c r="B777" s="131"/>
    </row>
    <row r="778">
      <c r="B778" s="131"/>
    </row>
    <row r="779">
      <c r="B779" s="131"/>
    </row>
    <row r="780">
      <c r="B780" s="131"/>
    </row>
    <row r="781">
      <c r="B781" s="131"/>
    </row>
    <row r="782">
      <c r="B782" s="131"/>
    </row>
    <row r="783">
      <c r="B783" s="131"/>
    </row>
    <row r="784">
      <c r="B784" s="131"/>
    </row>
    <row r="785">
      <c r="B785" s="131"/>
    </row>
    <row r="786">
      <c r="B786" s="131"/>
    </row>
    <row r="787">
      <c r="B787" s="131"/>
    </row>
    <row r="788">
      <c r="B788" s="131"/>
    </row>
    <row r="789">
      <c r="B789" s="131"/>
    </row>
    <row r="790">
      <c r="B790" s="131"/>
    </row>
    <row r="791">
      <c r="B791" s="131"/>
    </row>
    <row r="792">
      <c r="B792" s="131"/>
    </row>
    <row r="793">
      <c r="B793" s="131"/>
    </row>
    <row r="794">
      <c r="B794" s="131"/>
    </row>
    <row r="795">
      <c r="B795" s="131"/>
    </row>
    <row r="796">
      <c r="B796" s="131"/>
    </row>
    <row r="797">
      <c r="B797" s="131"/>
    </row>
    <row r="798">
      <c r="B798" s="131"/>
    </row>
    <row r="799">
      <c r="B799" s="131"/>
    </row>
    <row r="800">
      <c r="B800" s="131"/>
    </row>
    <row r="801">
      <c r="B801" s="131"/>
    </row>
    <row r="802">
      <c r="B802" s="131"/>
    </row>
    <row r="803">
      <c r="B803" s="131"/>
    </row>
    <row r="804">
      <c r="B804" s="131"/>
    </row>
    <row r="805">
      <c r="B805" s="131"/>
    </row>
    <row r="806">
      <c r="B806" s="131"/>
    </row>
    <row r="807">
      <c r="B807" s="131"/>
    </row>
    <row r="808">
      <c r="B808" s="131"/>
    </row>
    <row r="809">
      <c r="B809" s="131"/>
    </row>
    <row r="810">
      <c r="B810" s="131"/>
    </row>
    <row r="811">
      <c r="B811" s="131"/>
    </row>
    <row r="812">
      <c r="B812" s="131"/>
    </row>
    <row r="813">
      <c r="B813" s="131"/>
    </row>
    <row r="814">
      <c r="B814" s="131"/>
    </row>
    <row r="815">
      <c r="B815" s="131"/>
    </row>
    <row r="816">
      <c r="B816" s="131"/>
    </row>
    <row r="817">
      <c r="B817" s="131"/>
    </row>
    <row r="818">
      <c r="B818" s="131"/>
    </row>
    <row r="819">
      <c r="B819" s="131"/>
    </row>
    <row r="820">
      <c r="B820" s="131"/>
    </row>
    <row r="821">
      <c r="B821" s="131"/>
    </row>
    <row r="822">
      <c r="B822" s="131"/>
    </row>
    <row r="823">
      <c r="B823" s="131"/>
    </row>
    <row r="824">
      <c r="B824" s="131"/>
    </row>
    <row r="825">
      <c r="B825" s="131"/>
    </row>
    <row r="826">
      <c r="B826" s="131"/>
    </row>
    <row r="827">
      <c r="B827" s="131"/>
    </row>
    <row r="828">
      <c r="B828" s="131"/>
    </row>
    <row r="829">
      <c r="B829" s="131"/>
    </row>
    <row r="830">
      <c r="B830" s="131"/>
    </row>
    <row r="831">
      <c r="B831" s="131"/>
    </row>
    <row r="832">
      <c r="B832" s="131"/>
    </row>
    <row r="833">
      <c r="B833" s="131"/>
    </row>
    <row r="834">
      <c r="B834" s="131"/>
    </row>
    <row r="835">
      <c r="B835" s="131"/>
    </row>
    <row r="836">
      <c r="B836" s="131"/>
    </row>
    <row r="837">
      <c r="B837" s="131"/>
    </row>
    <row r="838">
      <c r="B838" s="131"/>
    </row>
    <row r="839">
      <c r="B839" s="131"/>
    </row>
    <row r="840">
      <c r="B840" s="131"/>
    </row>
    <row r="841">
      <c r="B841" s="131"/>
    </row>
    <row r="842">
      <c r="B842" s="131"/>
    </row>
    <row r="843">
      <c r="B843" s="131"/>
    </row>
    <row r="844">
      <c r="B844" s="131"/>
    </row>
    <row r="845">
      <c r="B845" s="131"/>
    </row>
    <row r="846">
      <c r="B846" s="131"/>
    </row>
    <row r="847">
      <c r="B847" s="131"/>
    </row>
    <row r="848">
      <c r="B848" s="131"/>
    </row>
    <row r="849">
      <c r="B849" s="131"/>
    </row>
    <row r="850">
      <c r="B850" s="131"/>
    </row>
    <row r="851">
      <c r="B851" s="131"/>
    </row>
    <row r="852">
      <c r="B852" s="131"/>
    </row>
    <row r="853">
      <c r="B853" s="131"/>
    </row>
    <row r="854">
      <c r="B854" s="131"/>
    </row>
    <row r="855">
      <c r="B855" s="131"/>
    </row>
    <row r="856">
      <c r="B856" s="131"/>
    </row>
    <row r="857">
      <c r="B857" s="131"/>
    </row>
    <row r="858">
      <c r="B858" s="131"/>
    </row>
    <row r="859">
      <c r="B859" s="131"/>
    </row>
    <row r="860">
      <c r="B860" s="131"/>
    </row>
    <row r="861">
      <c r="B861" s="131"/>
    </row>
    <row r="862">
      <c r="B862" s="131"/>
    </row>
    <row r="863">
      <c r="B863" s="131"/>
    </row>
    <row r="864">
      <c r="B864" s="131"/>
    </row>
    <row r="865">
      <c r="B865" s="131"/>
    </row>
    <row r="866">
      <c r="B866" s="131"/>
    </row>
    <row r="867">
      <c r="B867" s="131"/>
    </row>
    <row r="868">
      <c r="B868" s="131"/>
    </row>
    <row r="869">
      <c r="B869" s="131"/>
    </row>
    <row r="870">
      <c r="B870" s="131"/>
    </row>
    <row r="871">
      <c r="B871" s="131"/>
    </row>
    <row r="872">
      <c r="B872" s="131"/>
    </row>
    <row r="873">
      <c r="B873" s="131"/>
    </row>
    <row r="874">
      <c r="B874" s="131"/>
    </row>
    <row r="875">
      <c r="B875" s="131"/>
    </row>
    <row r="876">
      <c r="B876" s="131"/>
    </row>
    <row r="877">
      <c r="B877" s="131"/>
    </row>
    <row r="878">
      <c r="B878" s="131"/>
    </row>
    <row r="879">
      <c r="B879" s="131"/>
    </row>
    <row r="880">
      <c r="B880" s="131"/>
    </row>
    <row r="881">
      <c r="B881" s="131"/>
    </row>
    <row r="882">
      <c r="B882" s="131"/>
    </row>
    <row r="883">
      <c r="B883" s="131"/>
    </row>
    <row r="884">
      <c r="B884" s="131"/>
    </row>
    <row r="885">
      <c r="B885" s="131"/>
    </row>
    <row r="886">
      <c r="B886" s="131"/>
    </row>
    <row r="887">
      <c r="B887" s="131"/>
    </row>
    <row r="888">
      <c r="B888" s="131"/>
    </row>
    <row r="889">
      <c r="B889" s="131"/>
    </row>
    <row r="890">
      <c r="B890" s="131"/>
    </row>
    <row r="891">
      <c r="B891" s="131"/>
    </row>
    <row r="892">
      <c r="B892" s="131"/>
    </row>
    <row r="893">
      <c r="B893" s="131"/>
    </row>
    <row r="894">
      <c r="B894" s="131"/>
    </row>
    <row r="895">
      <c r="B895" s="131"/>
    </row>
    <row r="896">
      <c r="B896" s="131"/>
    </row>
    <row r="897">
      <c r="B897" s="131"/>
    </row>
    <row r="898">
      <c r="B898" s="131"/>
    </row>
    <row r="899">
      <c r="B899" s="131"/>
    </row>
    <row r="900">
      <c r="B900" s="131"/>
    </row>
    <row r="901">
      <c r="B901" s="131"/>
    </row>
    <row r="902">
      <c r="B902" s="131"/>
    </row>
    <row r="903">
      <c r="B903" s="131"/>
    </row>
    <row r="904">
      <c r="B904" s="131"/>
    </row>
    <row r="905">
      <c r="B905" s="131"/>
    </row>
    <row r="906">
      <c r="B906" s="131"/>
    </row>
    <row r="907">
      <c r="B907" s="131"/>
    </row>
    <row r="908">
      <c r="B908" s="131"/>
    </row>
    <row r="909">
      <c r="B909" s="131"/>
    </row>
    <row r="910">
      <c r="B910" s="131"/>
    </row>
    <row r="911">
      <c r="B911" s="131"/>
    </row>
    <row r="912">
      <c r="B912" s="131"/>
    </row>
    <row r="913">
      <c r="B913" s="131"/>
    </row>
    <row r="914">
      <c r="B914" s="131"/>
    </row>
    <row r="915">
      <c r="B915" s="131"/>
    </row>
    <row r="916">
      <c r="B916" s="131"/>
    </row>
    <row r="917">
      <c r="B917" s="131"/>
    </row>
    <row r="918">
      <c r="B918" s="131"/>
    </row>
    <row r="919">
      <c r="B919" s="131"/>
    </row>
    <row r="920">
      <c r="B920" s="131"/>
    </row>
    <row r="921">
      <c r="B921" s="131"/>
    </row>
    <row r="922">
      <c r="B922" s="131"/>
    </row>
    <row r="923">
      <c r="B923" s="131"/>
    </row>
    <row r="924">
      <c r="B924" s="131"/>
    </row>
    <row r="925">
      <c r="B925" s="131"/>
    </row>
    <row r="926">
      <c r="B926" s="131"/>
    </row>
    <row r="927">
      <c r="B927" s="131"/>
    </row>
    <row r="928">
      <c r="B928" s="131"/>
    </row>
    <row r="929">
      <c r="B929" s="131"/>
    </row>
    <row r="930">
      <c r="B930" s="131"/>
    </row>
    <row r="931">
      <c r="B931" s="131"/>
    </row>
    <row r="932">
      <c r="B932" s="131"/>
    </row>
    <row r="933">
      <c r="B933" s="131"/>
    </row>
    <row r="934">
      <c r="B934" s="131"/>
    </row>
    <row r="935">
      <c r="B935" s="131"/>
    </row>
    <row r="936">
      <c r="B936" s="131"/>
    </row>
    <row r="937">
      <c r="B937" s="131"/>
    </row>
    <row r="938">
      <c r="B938" s="131"/>
    </row>
    <row r="939">
      <c r="B939" s="131"/>
    </row>
    <row r="940">
      <c r="B940" s="131"/>
    </row>
    <row r="941">
      <c r="B941" s="131"/>
    </row>
    <row r="942">
      <c r="B942" s="131"/>
    </row>
    <row r="943">
      <c r="B943" s="131"/>
    </row>
    <row r="944">
      <c r="B944" s="131"/>
    </row>
    <row r="945">
      <c r="B945" s="131"/>
    </row>
    <row r="946">
      <c r="B946" s="131"/>
    </row>
    <row r="947">
      <c r="B947" s="131"/>
    </row>
    <row r="948">
      <c r="B948" s="131"/>
    </row>
    <row r="949">
      <c r="B949" s="131"/>
    </row>
    <row r="950">
      <c r="B950" s="131"/>
    </row>
    <row r="951">
      <c r="B951" s="131"/>
    </row>
    <row r="952">
      <c r="B952" s="131"/>
    </row>
    <row r="953">
      <c r="B953" s="131"/>
    </row>
    <row r="954">
      <c r="B954" s="131"/>
    </row>
    <row r="955">
      <c r="B955" s="131"/>
    </row>
    <row r="956">
      <c r="B956" s="131"/>
    </row>
    <row r="957">
      <c r="B957" s="131"/>
    </row>
    <row r="958">
      <c r="B958" s="131"/>
    </row>
    <row r="959">
      <c r="B959" s="131"/>
    </row>
    <row r="960">
      <c r="B960" s="131"/>
    </row>
    <row r="961">
      <c r="B961" s="131"/>
    </row>
    <row r="962">
      <c r="B962" s="131"/>
    </row>
    <row r="963">
      <c r="B963" s="131"/>
    </row>
    <row r="964">
      <c r="B964" s="131"/>
    </row>
    <row r="965">
      <c r="B965" s="131"/>
    </row>
    <row r="966">
      <c r="B966" s="131"/>
    </row>
    <row r="967">
      <c r="B967" s="131"/>
    </row>
    <row r="968">
      <c r="B968" s="131"/>
    </row>
    <row r="969">
      <c r="B969" s="131"/>
    </row>
    <row r="970">
      <c r="B970" s="131"/>
    </row>
    <row r="971">
      <c r="B971" s="131"/>
    </row>
    <row r="972">
      <c r="B972" s="131"/>
    </row>
    <row r="973">
      <c r="B973" s="131"/>
    </row>
    <row r="974">
      <c r="B974" s="131"/>
    </row>
    <row r="975">
      <c r="B975" s="131"/>
    </row>
    <row r="976">
      <c r="B976" s="131"/>
    </row>
    <row r="977">
      <c r="B977" s="131"/>
    </row>
    <row r="978">
      <c r="B978" s="131"/>
    </row>
    <row r="979">
      <c r="B979" s="131"/>
    </row>
    <row r="980">
      <c r="B980" s="131"/>
    </row>
    <row r="981">
      <c r="B981" s="131"/>
    </row>
    <row r="982">
      <c r="B982" s="131"/>
    </row>
    <row r="983">
      <c r="B983" s="131"/>
    </row>
    <row r="984">
      <c r="B984" s="131"/>
    </row>
    <row r="985">
      <c r="B985" s="131"/>
    </row>
    <row r="986">
      <c r="B986" s="131"/>
    </row>
    <row r="987">
      <c r="B987" s="131"/>
    </row>
    <row r="988">
      <c r="B988" s="131"/>
    </row>
    <row r="989">
      <c r="B989" s="131"/>
    </row>
    <row r="990">
      <c r="B990" s="131"/>
    </row>
    <row r="991">
      <c r="B991" s="131"/>
    </row>
    <row r="992">
      <c r="B992" s="13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14.25"/>
    <col customWidth="1" min="3" max="3" width="11.75"/>
    <col customWidth="1" min="4" max="4" width="48.88"/>
    <col customWidth="1" min="5" max="8" width="10.38"/>
    <col customWidth="1" min="9" max="9" width="15.5"/>
    <col customWidth="1" min="10" max="29" width="14.5"/>
  </cols>
  <sheetData>
    <row r="1">
      <c r="A1" s="132" t="s">
        <v>153</v>
      </c>
      <c r="B1" s="132" t="s">
        <v>160</v>
      </c>
      <c r="C1" s="133" t="s">
        <v>161</v>
      </c>
      <c r="D1" s="134" t="s">
        <v>162</v>
      </c>
      <c r="E1" s="134" t="s">
        <v>154</v>
      </c>
      <c r="F1" s="134" t="s">
        <v>163</v>
      </c>
      <c r="G1" s="134" t="s">
        <v>164</v>
      </c>
      <c r="H1" s="134" t="s">
        <v>165</v>
      </c>
      <c r="I1" s="135" t="s">
        <v>166</v>
      </c>
    </row>
    <row r="2">
      <c r="A2" s="22"/>
      <c r="B2" s="22"/>
      <c r="C2" s="22"/>
      <c r="D2" s="22"/>
      <c r="E2" s="22"/>
      <c r="F2" s="22"/>
      <c r="G2" s="22"/>
      <c r="H2" s="22"/>
      <c r="I2" s="22"/>
    </row>
    <row r="3">
      <c r="A3" s="136" t="s">
        <v>158</v>
      </c>
      <c r="B3" s="137">
        <v>44075.0</v>
      </c>
      <c r="C3" s="138">
        <v>45238.0</v>
      </c>
      <c r="D3" s="139" t="s">
        <v>167</v>
      </c>
      <c r="E3" s="139">
        <v>4200.0</v>
      </c>
      <c r="F3" s="139"/>
      <c r="G3" s="139"/>
      <c r="H3" s="139">
        <f t="shared" ref="H3:H4" si="1">E3*0.4</f>
        <v>1680</v>
      </c>
      <c r="I3" s="57">
        <v>45240.0</v>
      </c>
    </row>
    <row r="4">
      <c r="A4" s="18"/>
      <c r="B4" s="18"/>
      <c r="C4" s="138">
        <v>45273.0</v>
      </c>
      <c r="D4" s="139" t="s">
        <v>168</v>
      </c>
      <c r="E4" s="140">
        <v>1400.0</v>
      </c>
      <c r="F4" s="140"/>
      <c r="G4" s="140"/>
      <c r="H4" s="139">
        <f t="shared" si="1"/>
        <v>560</v>
      </c>
      <c r="I4" s="57">
        <v>45301.0</v>
      </c>
    </row>
    <row r="5">
      <c r="A5" s="18"/>
      <c r="B5" s="18"/>
      <c r="C5" s="138">
        <v>45039.0</v>
      </c>
      <c r="D5" s="141" t="s">
        <v>169</v>
      </c>
      <c r="E5" s="142">
        <v>3600.0</v>
      </c>
      <c r="F5" s="140">
        <v>2660.0</v>
      </c>
      <c r="G5" s="140"/>
      <c r="H5" s="139">
        <v>4460.0</v>
      </c>
      <c r="I5" s="57">
        <v>45514.0</v>
      </c>
    </row>
    <row r="6">
      <c r="A6" s="18"/>
      <c r="B6" s="18"/>
      <c r="C6" s="138">
        <v>45548.0</v>
      </c>
      <c r="D6" s="141" t="s">
        <v>170</v>
      </c>
      <c r="E6" s="142">
        <v>1500.0</v>
      </c>
      <c r="F6" s="140"/>
      <c r="G6" s="140"/>
      <c r="H6" s="139">
        <v>750.0</v>
      </c>
      <c r="I6" s="57">
        <v>45574.0</v>
      </c>
    </row>
    <row r="7">
      <c r="A7" s="18"/>
      <c r="B7" s="18"/>
      <c r="C7" s="143">
        <v>45980.0</v>
      </c>
      <c r="D7" s="144" t="s">
        <v>171</v>
      </c>
      <c r="E7" s="145">
        <f>156+4213+6273</f>
        <v>10642</v>
      </c>
      <c r="F7" s="146"/>
      <c r="G7" s="146"/>
      <c r="H7" s="147">
        <v>2500.0</v>
      </c>
      <c r="I7" s="29"/>
    </row>
    <row r="8">
      <c r="A8" s="18"/>
      <c r="B8" s="18"/>
      <c r="C8" s="143">
        <v>46001.0</v>
      </c>
      <c r="D8" s="23" t="s">
        <v>172</v>
      </c>
      <c r="E8" s="145"/>
      <c r="F8" s="146">
        <v>1700.0</v>
      </c>
      <c r="G8" s="146"/>
      <c r="H8" s="147"/>
      <c r="I8" s="29"/>
    </row>
    <row r="9">
      <c r="A9" s="18"/>
      <c r="B9" s="18"/>
      <c r="C9" s="143">
        <v>46001.0</v>
      </c>
      <c r="D9" s="23" t="s">
        <v>173</v>
      </c>
      <c r="E9" s="145">
        <v>8000.0</v>
      </c>
      <c r="F9" s="146"/>
      <c r="G9" s="146"/>
      <c r="H9" s="147">
        <v>4000.0</v>
      </c>
      <c r="I9" s="29"/>
    </row>
    <row r="10">
      <c r="A10" s="22"/>
      <c r="B10" s="22"/>
      <c r="C10" s="143">
        <v>46001.0</v>
      </c>
      <c r="D10" s="23" t="s">
        <v>174</v>
      </c>
      <c r="E10" s="145">
        <v>7200.0</v>
      </c>
      <c r="F10" s="146"/>
      <c r="G10" s="146"/>
      <c r="H10" s="147">
        <v>3600.0</v>
      </c>
      <c r="I10" s="29"/>
    </row>
    <row r="11">
      <c r="A11" s="148" t="s">
        <v>59</v>
      </c>
      <c r="B11" s="137">
        <v>44075.0</v>
      </c>
      <c r="C11" s="138">
        <v>45121.0</v>
      </c>
      <c r="D11" s="149" t="s">
        <v>175</v>
      </c>
      <c r="E11" s="150">
        <v>3400.0</v>
      </c>
      <c r="F11" s="140"/>
      <c r="G11" s="140"/>
      <c r="H11" s="139">
        <f t="shared" ref="H11:H13" si="2">E11*0.4</f>
        <v>1360</v>
      </c>
      <c r="I11" s="57">
        <v>45179.0</v>
      </c>
    </row>
    <row r="12">
      <c r="A12" s="18"/>
      <c r="B12" s="18"/>
      <c r="C12" s="138">
        <v>45238.0</v>
      </c>
      <c r="D12" s="139" t="s">
        <v>167</v>
      </c>
      <c r="E12" s="140">
        <v>4200.0</v>
      </c>
      <c r="F12" s="140"/>
      <c r="G12" s="140"/>
      <c r="H12" s="139">
        <f t="shared" si="2"/>
        <v>1680</v>
      </c>
      <c r="I12" s="57">
        <v>45240.0</v>
      </c>
    </row>
    <row r="13">
      <c r="A13" s="18"/>
      <c r="B13" s="18"/>
      <c r="C13" s="138">
        <v>45264.0</v>
      </c>
      <c r="D13" s="151" t="s">
        <v>168</v>
      </c>
      <c r="E13" s="140">
        <v>1500.0</v>
      </c>
      <c r="F13" s="140"/>
      <c r="G13" s="140"/>
      <c r="H13" s="139">
        <f t="shared" si="2"/>
        <v>600</v>
      </c>
      <c r="I13" s="57">
        <v>45267.0</v>
      </c>
    </row>
    <row r="14">
      <c r="A14" s="22"/>
      <c r="B14" s="22"/>
      <c r="C14" s="138">
        <v>45974.0</v>
      </c>
      <c r="D14" s="152" t="s">
        <v>176</v>
      </c>
      <c r="E14" s="140">
        <v>2500.0</v>
      </c>
      <c r="F14" s="140"/>
      <c r="G14" s="140"/>
      <c r="H14" s="139">
        <f>E14*0.5</f>
        <v>1250</v>
      </c>
      <c r="I14" s="57">
        <v>46001.0</v>
      </c>
    </row>
    <row r="15">
      <c r="A15" s="153" t="s">
        <v>79</v>
      </c>
      <c r="B15" s="154">
        <v>44075.0</v>
      </c>
      <c r="C15" s="155"/>
      <c r="D15" s="156"/>
      <c r="E15" s="156"/>
      <c r="F15" s="139"/>
      <c r="G15" s="139"/>
      <c r="H15" s="139">
        <f t="shared" ref="H15:H17" si="3">E15*0.4</f>
        <v>0</v>
      </c>
      <c r="I15" s="39"/>
    </row>
    <row r="16" hidden="1">
      <c r="A16" s="157" t="s">
        <v>73</v>
      </c>
      <c r="B16" s="158">
        <v>44075.0</v>
      </c>
      <c r="C16" s="159">
        <v>45121.0</v>
      </c>
      <c r="D16" s="160" t="s">
        <v>177</v>
      </c>
      <c r="E16" s="160">
        <v>3825.0</v>
      </c>
      <c r="F16" s="160"/>
      <c r="G16" s="160"/>
      <c r="H16" s="160">
        <f t="shared" si="3"/>
        <v>1530</v>
      </c>
      <c r="I16" s="21">
        <v>45179.0</v>
      </c>
    </row>
    <row r="17" hidden="1">
      <c r="A17" s="18"/>
      <c r="B17" s="18"/>
      <c r="C17" s="161">
        <v>45246.0</v>
      </c>
      <c r="D17" s="19" t="s">
        <v>178</v>
      </c>
      <c r="E17" s="19">
        <v>6375.0</v>
      </c>
      <c r="F17" s="160"/>
      <c r="G17" s="160"/>
      <c r="H17" s="160">
        <f t="shared" si="3"/>
        <v>2550</v>
      </c>
      <c r="I17" s="21">
        <v>45267.0</v>
      </c>
    </row>
    <row r="18" hidden="1">
      <c r="A18" s="22"/>
      <c r="B18" s="22"/>
      <c r="C18" s="161">
        <v>45562.0</v>
      </c>
      <c r="D18" s="19" t="s">
        <v>179</v>
      </c>
      <c r="E18" s="19">
        <v>150.0</v>
      </c>
      <c r="F18" s="160">
        <v>1050.0</v>
      </c>
      <c r="G18" s="160"/>
      <c r="H18" s="160">
        <v>1125.0</v>
      </c>
      <c r="I18" s="21">
        <v>45574.0</v>
      </c>
    </row>
    <row r="19">
      <c r="A19" s="162" t="s">
        <v>75</v>
      </c>
      <c r="B19" s="137">
        <v>44075.0</v>
      </c>
      <c r="C19" s="163">
        <v>45121.0</v>
      </c>
      <c r="D19" s="164" t="s">
        <v>177</v>
      </c>
      <c r="E19" s="164">
        <v>3825.0</v>
      </c>
      <c r="F19" s="139"/>
      <c r="G19" s="139"/>
      <c r="H19" s="139">
        <f t="shared" ref="H19:H22" si="4">E19*0.4</f>
        <v>1530</v>
      </c>
      <c r="I19" s="57">
        <v>45179.0</v>
      </c>
    </row>
    <row r="20">
      <c r="A20" s="18"/>
      <c r="B20" s="18"/>
      <c r="C20" s="18"/>
      <c r="D20" s="164" t="s">
        <v>180</v>
      </c>
      <c r="E20" s="164">
        <v>3600.0</v>
      </c>
      <c r="F20" s="139"/>
      <c r="G20" s="139"/>
      <c r="H20" s="139">
        <f t="shared" si="4"/>
        <v>1440</v>
      </c>
      <c r="I20" s="57">
        <v>45179.0</v>
      </c>
    </row>
    <row r="21">
      <c r="A21" s="18"/>
      <c r="B21" s="18"/>
      <c r="C21" s="22"/>
      <c r="D21" s="129" t="s">
        <v>175</v>
      </c>
      <c r="E21" s="165">
        <v>3400.0</v>
      </c>
      <c r="F21" s="140"/>
      <c r="G21" s="140"/>
      <c r="H21" s="139">
        <f t="shared" si="4"/>
        <v>1360</v>
      </c>
      <c r="I21" s="57">
        <v>45179.0</v>
      </c>
    </row>
    <row r="22">
      <c r="A22" s="18"/>
      <c r="B22" s="18"/>
      <c r="C22" s="166">
        <v>45238.0</v>
      </c>
      <c r="D22" s="139" t="s">
        <v>167</v>
      </c>
      <c r="E22" s="167">
        <v>4200.0</v>
      </c>
      <c r="F22" s="140"/>
      <c r="G22" s="140"/>
      <c r="H22" s="139">
        <f t="shared" si="4"/>
        <v>1680</v>
      </c>
      <c r="I22" s="57">
        <v>45240.0</v>
      </c>
    </row>
    <row r="23">
      <c r="A23" s="18"/>
      <c r="B23" s="18"/>
      <c r="C23" s="166">
        <v>45462.0</v>
      </c>
      <c r="D23" s="60" t="s">
        <v>169</v>
      </c>
      <c r="E23" s="167">
        <v>3600.0</v>
      </c>
      <c r="F23" s="140">
        <v>2010.0</v>
      </c>
      <c r="G23" s="140"/>
      <c r="H23" s="139">
        <f>E23*0.5+2010</f>
        <v>3810</v>
      </c>
      <c r="I23" s="57">
        <v>45514.0</v>
      </c>
    </row>
    <row r="24">
      <c r="A24" s="18"/>
      <c r="B24" s="18"/>
      <c r="C24" s="166">
        <v>45758.0</v>
      </c>
      <c r="D24" s="60" t="s">
        <v>181</v>
      </c>
      <c r="E24" s="167">
        <v>4260.0</v>
      </c>
      <c r="F24" s="140"/>
      <c r="G24" s="140"/>
      <c r="H24" s="139">
        <f>E24*0.5</f>
        <v>2130</v>
      </c>
      <c r="I24" s="57">
        <v>45779.0</v>
      </c>
    </row>
    <row r="25">
      <c r="A25" s="18"/>
      <c r="B25" s="18"/>
      <c r="C25" s="168">
        <v>45804.0</v>
      </c>
      <c r="D25" s="169" t="s">
        <v>182</v>
      </c>
      <c r="E25" s="170">
        <v>2560.0</v>
      </c>
      <c r="F25" s="171">
        <v>630.0</v>
      </c>
      <c r="G25" s="171"/>
      <c r="H25" s="172">
        <f>E25*0.5+F25</f>
        <v>1910</v>
      </c>
      <c r="I25" s="173">
        <v>45818.0</v>
      </c>
    </row>
    <row r="26">
      <c r="A26" s="18"/>
      <c r="B26" s="18"/>
      <c r="C26" s="168">
        <v>45817.0</v>
      </c>
      <c r="D26" s="169" t="s">
        <v>183</v>
      </c>
      <c r="E26" s="174">
        <v>3600.0</v>
      </c>
      <c r="F26" s="175">
        <f>315+315</f>
        <v>630</v>
      </c>
      <c r="G26" s="171">
        <v>2000.0</v>
      </c>
      <c r="H26" s="172">
        <f>E26*0.5+F26+G26</f>
        <v>4430</v>
      </c>
      <c r="I26" s="57">
        <v>45848.0</v>
      </c>
    </row>
    <row r="27">
      <c r="A27" s="22"/>
      <c r="B27" s="22"/>
      <c r="C27" s="176">
        <v>45960.0</v>
      </c>
      <c r="D27" s="23" t="s">
        <v>171</v>
      </c>
      <c r="E27" s="177">
        <f>645+662</f>
        <v>1307</v>
      </c>
      <c r="F27" s="178"/>
      <c r="G27" s="179"/>
      <c r="H27" s="180">
        <v>654.0</v>
      </c>
      <c r="I27" s="29"/>
    </row>
    <row r="28">
      <c r="A28" s="181" t="s">
        <v>69</v>
      </c>
      <c r="B28" s="137">
        <v>44075.0</v>
      </c>
      <c r="C28" s="138">
        <v>45548.0</v>
      </c>
      <c r="D28" s="141" t="s">
        <v>170</v>
      </c>
      <c r="E28" s="142">
        <v>1500.0</v>
      </c>
      <c r="F28" s="140"/>
      <c r="G28" s="140"/>
      <c r="H28" s="139">
        <v>750.0</v>
      </c>
      <c r="I28" s="57">
        <v>45574.0</v>
      </c>
    </row>
    <row r="29">
      <c r="A29" s="18"/>
      <c r="B29" s="18"/>
      <c r="C29" s="138">
        <v>45974.0</v>
      </c>
      <c r="D29" s="141" t="s">
        <v>184</v>
      </c>
      <c r="E29" s="142">
        <v>8000.0</v>
      </c>
      <c r="F29" s="140"/>
      <c r="G29" s="140"/>
      <c r="H29" s="139">
        <v>4000.0</v>
      </c>
      <c r="I29" s="57">
        <v>46001.0</v>
      </c>
    </row>
    <row r="30">
      <c r="A30" s="18"/>
      <c r="B30" s="18"/>
      <c r="C30" s="138">
        <v>45974.0</v>
      </c>
      <c r="D30" s="141" t="s">
        <v>185</v>
      </c>
      <c r="E30" s="142">
        <v>8000.0</v>
      </c>
      <c r="F30" s="140"/>
      <c r="G30" s="140"/>
      <c r="H30" s="139">
        <v>4000.0</v>
      </c>
      <c r="I30" s="57">
        <v>46001.0</v>
      </c>
    </row>
    <row r="31">
      <c r="A31" s="22"/>
      <c r="B31" s="22"/>
      <c r="C31" s="143">
        <v>45942.0</v>
      </c>
      <c r="D31" s="23" t="s">
        <v>171</v>
      </c>
      <c r="E31" s="145">
        <f>1228+628</f>
        <v>1856</v>
      </c>
      <c r="F31" s="146"/>
      <c r="G31" s="146"/>
      <c r="H31" s="147">
        <v>928.0</v>
      </c>
      <c r="I31" s="29"/>
    </row>
    <row r="32">
      <c r="A32" s="182" t="s">
        <v>92</v>
      </c>
      <c r="B32" s="183">
        <v>44200.0</v>
      </c>
      <c r="C32" s="184"/>
      <c r="D32" s="39"/>
      <c r="E32" s="39"/>
      <c r="F32" s="139"/>
      <c r="G32" s="139"/>
      <c r="H32" s="139">
        <f t="shared" ref="H32:H33" si="5">E32*0.4</f>
        <v>0</v>
      </c>
      <c r="I32" s="39"/>
    </row>
    <row r="33">
      <c r="A33" s="181" t="s">
        <v>96</v>
      </c>
      <c r="B33" s="137">
        <v>44228.0</v>
      </c>
      <c r="C33" s="166">
        <v>45237.0</v>
      </c>
      <c r="D33" s="60" t="s">
        <v>186</v>
      </c>
      <c r="E33" s="60">
        <v>7000.0</v>
      </c>
      <c r="F33" s="60"/>
      <c r="G33" s="60"/>
      <c r="H33" s="60">
        <f t="shared" si="5"/>
        <v>2800</v>
      </c>
      <c r="I33" s="57">
        <v>45267.0</v>
      </c>
    </row>
    <row r="34">
      <c r="A34" s="22"/>
      <c r="B34" s="22"/>
      <c r="C34" s="166">
        <v>45316.0</v>
      </c>
      <c r="D34" s="151" t="s">
        <v>187</v>
      </c>
      <c r="E34" s="60">
        <v>6300.0</v>
      </c>
      <c r="F34" s="139">
        <v>2980.0</v>
      </c>
      <c r="G34" s="139"/>
      <c r="H34" s="139">
        <v>6130.0</v>
      </c>
      <c r="I34" s="57">
        <v>45328.0</v>
      </c>
    </row>
    <row r="35">
      <c r="A35" s="181" t="s">
        <v>86</v>
      </c>
      <c r="B35" s="137">
        <v>44256.0</v>
      </c>
      <c r="C35" s="166">
        <v>45121.0</v>
      </c>
      <c r="D35" s="151" t="s">
        <v>175</v>
      </c>
      <c r="E35" s="60">
        <v>3400.0</v>
      </c>
      <c r="F35" s="139"/>
      <c r="G35" s="139"/>
      <c r="H35" s="139">
        <f t="shared" ref="H35:H37" si="6">E35*0.4</f>
        <v>1360</v>
      </c>
      <c r="I35" s="57">
        <v>45179.0</v>
      </c>
    </row>
    <row r="36">
      <c r="A36" s="18"/>
      <c r="B36" s="18"/>
      <c r="C36" s="166">
        <v>45260.0</v>
      </c>
      <c r="D36" s="151" t="s">
        <v>168</v>
      </c>
      <c r="E36" s="60">
        <v>1500.0</v>
      </c>
      <c r="F36" s="139"/>
      <c r="G36" s="139"/>
      <c r="H36" s="139">
        <f t="shared" si="6"/>
        <v>600</v>
      </c>
      <c r="I36" s="57">
        <v>45267.0</v>
      </c>
    </row>
    <row r="37">
      <c r="A37" s="18"/>
      <c r="B37" s="18"/>
      <c r="C37" s="185">
        <v>45268.0</v>
      </c>
      <c r="D37" s="60" t="s">
        <v>188</v>
      </c>
      <c r="E37" s="60">
        <v>3743.0</v>
      </c>
      <c r="F37" s="139"/>
      <c r="G37" s="139"/>
      <c r="H37" s="139">
        <f t="shared" si="6"/>
        <v>1497.2</v>
      </c>
      <c r="I37" s="57">
        <v>45301.0</v>
      </c>
    </row>
    <row r="38">
      <c r="A38" s="18"/>
      <c r="B38" s="18"/>
      <c r="C38" s="185">
        <v>45293.0</v>
      </c>
      <c r="D38" s="60" t="s">
        <v>189</v>
      </c>
      <c r="E38" s="60">
        <v>3000.0</v>
      </c>
      <c r="F38" s="139"/>
      <c r="G38" s="139"/>
      <c r="H38" s="139">
        <v>1500.0</v>
      </c>
      <c r="I38" s="57">
        <v>45328.0</v>
      </c>
    </row>
    <row r="39">
      <c r="A39" s="18"/>
      <c r="B39" s="18"/>
      <c r="C39" s="185">
        <v>45385.0</v>
      </c>
      <c r="D39" s="60" t="s">
        <v>190</v>
      </c>
      <c r="E39" s="60">
        <v>3979.0</v>
      </c>
      <c r="F39" s="139"/>
      <c r="G39" s="139"/>
      <c r="H39" s="139">
        <f t="shared" ref="H39:H45" si="7">E39*0.5</f>
        <v>1989.5</v>
      </c>
      <c r="I39" s="57">
        <v>45391.0</v>
      </c>
    </row>
    <row r="40">
      <c r="A40" s="18"/>
      <c r="B40" s="18"/>
      <c r="C40" s="185">
        <v>45399.0</v>
      </c>
      <c r="D40" s="60" t="s">
        <v>191</v>
      </c>
      <c r="E40" s="60">
        <v>1794.0</v>
      </c>
      <c r="F40" s="139"/>
      <c r="G40" s="139"/>
      <c r="H40" s="139">
        <f t="shared" si="7"/>
        <v>897</v>
      </c>
      <c r="I40" s="57">
        <v>45421.0</v>
      </c>
    </row>
    <row r="41">
      <c r="A41" s="18"/>
      <c r="B41" s="18"/>
      <c r="C41" s="185">
        <v>45404.0</v>
      </c>
      <c r="D41" s="60" t="s">
        <v>192</v>
      </c>
      <c r="E41" s="60">
        <v>6802.0</v>
      </c>
      <c r="F41" s="139"/>
      <c r="G41" s="139"/>
      <c r="H41" s="139">
        <f t="shared" si="7"/>
        <v>3401</v>
      </c>
      <c r="I41" s="57">
        <v>45421.0</v>
      </c>
    </row>
    <row r="42">
      <c r="A42" s="18"/>
      <c r="B42" s="18"/>
      <c r="C42" s="185">
        <v>45408.0</v>
      </c>
      <c r="D42" s="60" t="s">
        <v>193</v>
      </c>
      <c r="E42" s="60">
        <v>8637.0</v>
      </c>
      <c r="F42" s="139"/>
      <c r="G42" s="139"/>
      <c r="H42" s="139">
        <f t="shared" si="7"/>
        <v>4318.5</v>
      </c>
      <c r="I42" s="57">
        <v>45421.0</v>
      </c>
    </row>
    <row r="43">
      <c r="A43" s="18"/>
      <c r="B43" s="18"/>
      <c r="C43" s="185">
        <v>45420.0</v>
      </c>
      <c r="D43" s="60" t="s">
        <v>194</v>
      </c>
      <c r="E43" s="60">
        <v>500.0</v>
      </c>
      <c r="F43" s="139"/>
      <c r="G43" s="139"/>
      <c r="H43" s="139">
        <f t="shared" si="7"/>
        <v>250</v>
      </c>
      <c r="I43" s="57">
        <v>45449.0</v>
      </c>
    </row>
    <row r="44">
      <c r="A44" s="18"/>
      <c r="B44" s="18"/>
      <c r="C44" s="185">
        <v>45548.0</v>
      </c>
      <c r="D44" s="60" t="s">
        <v>195</v>
      </c>
      <c r="E44" s="60">
        <v>1690.0</v>
      </c>
      <c r="F44" s="139"/>
      <c r="G44" s="139"/>
      <c r="H44" s="139">
        <f t="shared" si="7"/>
        <v>845</v>
      </c>
      <c r="I44" s="57">
        <v>45574.0</v>
      </c>
    </row>
    <row r="45">
      <c r="A45" s="18"/>
      <c r="B45" s="18"/>
      <c r="C45" s="185">
        <v>45565.0</v>
      </c>
      <c r="D45" s="60" t="s">
        <v>196</v>
      </c>
      <c r="E45" s="60">
        <v>4000.0</v>
      </c>
      <c r="F45" s="139"/>
      <c r="G45" s="139"/>
      <c r="H45" s="139">
        <f t="shared" si="7"/>
        <v>2000</v>
      </c>
      <c r="I45" s="57">
        <v>45574.0</v>
      </c>
    </row>
    <row r="46">
      <c r="A46" s="18"/>
      <c r="B46" s="18"/>
      <c r="C46" s="185">
        <v>45597.0</v>
      </c>
      <c r="D46" s="60" t="s">
        <v>197</v>
      </c>
      <c r="E46" s="60">
        <v>1300.0</v>
      </c>
      <c r="F46" s="139"/>
      <c r="G46" s="139"/>
      <c r="H46" s="139">
        <f>E46*0.5+F46</f>
        <v>650</v>
      </c>
      <c r="I46" s="57">
        <v>45636.0</v>
      </c>
    </row>
    <row r="47">
      <c r="A47" s="18"/>
      <c r="B47" s="18"/>
      <c r="C47" s="185">
        <v>45646.0</v>
      </c>
      <c r="D47" s="60" t="s">
        <v>198</v>
      </c>
      <c r="E47" s="60">
        <v>1000.0</v>
      </c>
      <c r="F47" s="139"/>
      <c r="G47" s="139"/>
      <c r="H47" s="139">
        <f t="shared" ref="H47:H59" si="8">E47*0.5</f>
        <v>500</v>
      </c>
      <c r="I47" s="57">
        <v>45667.0</v>
      </c>
    </row>
    <row r="48">
      <c r="A48" s="18"/>
      <c r="B48" s="18"/>
      <c r="C48" s="185">
        <v>45713.0</v>
      </c>
      <c r="D48" s="60" t="s">
        <v>199</v>
      </c>
      <c r="E48" s="60">
        <v>5975.0</v>
      </c>
      <c r="F48" s="139"/>
      <c r="G48" s="139"/>
      <c r="H48" s="139">
        <f t="shared" si="8"/>
        <v>2987.5</v>
      </c>
      <c r="I48" s="57">
        <v>45726.0</v>
      </c>
    </row>
    <row r="49">
      <c r="A49" s="18"/>
      <c r="B49" s="18"/>
      <c r="C49" s="185">
        <v>45726.0</v>
      </c>
      <c r="D49" s="60" t="s">
        <v>200</v>
      </c>
      <c r="E49" s="60">
        <v>1999.0</v>
      </c>
      <c r="F49" s="139"/>
      <c r="G49" s="139"/>
      <c r="H49" s="139">
        <f t="shared" si="8"/>
        <v>999.5</v>
      </c>
      <c r="I49" s="57">
        <v>45757.0</v>
      </c>
    </row>
    <row r="50">
      <c r="A50" s="18"/>
      <c r="B50" s="18"/>
      <c r="C50" s="185">
        <v>45733.0</v>
      </c>
      <c r="D50" s="60" t="s">
        <v>201</v>
      </c>
      <c r="E50" s="60">
        <v>2500.0</v>
      </c>
      <c r="F50" s="139"/>
      <c r="G50" s="139"/>
      <c r="H50" s="139">
        <f t="shared" si="8"/>
        <v>1250</v>
      </c>
      <c r="I50" s="57">
        <v>45757.0</v>
      </c>
    </row>
    <row r="51">
      <c r="A51" s="18"/>
      <c r="B51" s="18"/>
      <c r="C51" s="185">
        <v>45755.0</v>
      </c>
      <c r="D51" s="60" t="s">
        <v>202</v>
      </c>
      <c r="E51" s="60">
        <v>1500.0</v>
      </c>
      <c r="F51" s="139"/>
      <c r="G51" s="139"/>
      <c r="H51" s="139">
        <f t="shared" si="8"/>
        <v>750</v>
      </c>
      <c r="I51" s="57">
        <v>45779.0</v>
      </c>
    </row>
    <row r="52">
      <c r="A52" s="18"/>
      <c r="B52" s="18"/>
      <c r="C52" s="185">
        <v>45807.0</v>
      </c>
      <c r="D52" s="60" t="s">
        <v>203</v>
      </c>
      <c r="E52" s="60">
        <v>4100.0</v>
      </c>
      <c r="F52" s="139"/>
      <c r="G52" s="139"/>
      <c r="H52" s="139">
        <f t="shared" si="8"/>
        <v>2050</v>
      </c>
      <c r="I52" s="57">
        <v>45818.0</v>
      </c>
    </row>
    <row r="53">
      <c r="A53" s="18"/>
      <c r="B53" s="18"/>
      <c r="C53" s="185">
        <v>45811.0</v>
      </c>
      <c r="D53" s="60" t="s">
        <v>204</v>
      </c>
      <c r="E53" s="60">
        <v>750.0</v>
      </c>
      <c r="F53" s="139"/>
      <c r="G53" s="139"/>
      <c r="H53" s="139">
        <f t="shared" si="8"/>
        <v>375</v>
      </c>
      <c r="I53" s="57">
        <v>45848.0</v>
      </c>
    </row>
    <row r="54">
      <c r="A54" s="18"/>
      <c r="B54" s="18"/>
      <c r="C54" s="185">
        <v>45826.0</v>
      </c>
      <c r="D54" s="60" t="s">
        <v>205</v>
      </c>
      <c r="E54" s="60">
        <v>1000.0</v>
      </c>
      <c r="F54" s="139"/>
      <c r="G54" s="139"/>
      <c r="H54" s="139">
        <f t="shared" si="8"/>
        <v>500</v>
      </c>
      <c r="I54" s="57">
        <v>45848.0</v>
      </c>
    </row>
    <row r="55">
      <c r="A55" s="18"/>
      <c r="B55" s="18"/>
      <c r="C55" s="185">
        <v>45869.0</v>
      </c>
      <c r="D55" s="60" t="s">
        <v>206</v>
      </c>
      <c r="E55" s="60">
        <v>1560.0</v>
      </c>
      <c r="F55" s="139"/>
      <c r="G55" s="139"/>
      <c r="H55" s="139">
        <f t="shared" si="8"/>
        <v>780</v>
      </c>
      <c r="I55" s="57">
        <v>45879.0</v>
      </c>
    </row>
    <row r="56">
      <c r="A56" s="18"/>
      <c r="B56" s="18"/>
      <c r="C56" s="185">
        <v>45919.0</v>
      </c>
      <c r="D56" s="60" t="s">
        <v>207</v>
      </c>
      <c r="E56" s="60">
        <v>1199.0</v>
      </c>
      <c r="F56" s="139"/>
      <c r="G56" s="139"/>
      <c r="H56" s="139">
        <f t="shared" si="8"/>
        <v>599.5</v>
      </c>
      <c r="I56" s="57">
        <v>45940.0</v>
      </c>
    </row>
    <row r="57">
      <c r="A57" s="18"/>
      <c r="B57" s="18"/>
      <c r="C57" s="185">
        <v>45923.0</v>
      </c>
      <c r="D57" s="60" t="s">
        <v>208</v>
      </c>
      <c r="E57" s="60">
        <v>3250.0</v>
      </c>
      <c r="F57" s="139"/>
      <c r="G57" s="139"/>
      <c r="H57" s="139">
        <f t="shared" si="8"/>
        <v>1625</v>
      </c>
      <c r="I57" s="57">
        <v>45940.0</v>
      </c>
    </row>
    <row r="58">
      <c r="A58" s="18"/>
      <c r="B58" s="18"/>
      <c r="C58" s="185">
        <v>45933.0</v>
      </c>
      <c r="D58" s="60" t="s">
        <v>209</v>
      </c>
      <c r="E58" s="60">
        <v>5500.0</v>
      </c>
      <c r="F58" s="139"/>
      <c r="G58" s="139"/>
      <c r="H58" s="139">
        <f t="shared" si="8"/>
        <v>2750</v>
      </c>
      <c r="I58" s="57">
        <v>45971.0</v>
      </c>
    </row>
    <row r="59">
      <c r="A59" s="22"/>
      <c r="B59" s="22"/>
      <c r="C59" s="185">
        <v>45966.0</v>
      </c>
      <c r="D59" s="60" t="s">
        <v>176</v>
      </c>
      <c r="E59" s="60">
        <v>1750.0</v>
      </c>
      <c r="F59" s="139"/>
      <c r="G59" s="139"/>
      <c r="H59" s="139">
        <f t="shared" si="8"/>
        <v>875</v>
      </c>
      <c r="I59" s="57">
        <v>46001.0</v>
      </c>
    </row>
    <row r="60">
      <c r="A60" s="181" t="s">
        <v>99</v>
      </c>
      <c r="B60" s="137">
        <v>44256.0</v>
      </c>
      <c r="C60" s="186">
        <v>45121.0</v>
      </c>
      <c r="D60" s="60" t="s">
        <v>175</v>
      </c>
      <c r="E60" s="60">
        <v>3400.0</v>
      </c>
      <c r="F60" s="139"/>
      <c r="G60" s="139"/>
      <c r="H60" s="139">
        <f t="shared" ref="H60:H62" si="9">E60*0.4</f>
        <v>1360</v>
      </c>
      <c r="I60" s="57">
        <v>45179.0</v>
      </c>
    </row>
    <row r="61">
      <c r="A61" s="18"/>
      <c r="B61" s="18"/>
      <c r="C61" s="22"/>
      <c r="D61" s="60" t="s">
        <v>210</v>
      </c>
      <c r="E61" s="60">
        <v>29000.0</v>
      </c>
      <c r="F61" s="139"/>
      <c r="G61" s="139"/>
      <c r="H61" s="139">
        <f t="shared" si="9"/>
        <v>11600</v>
      </c>
      <c r="I61" s="57">
        <v>45179.0</v>
      </c>
    </row>
    <row r="62">
      <c r="A62" s="18"/>
      <c r="B62" s="18"/>
      <c r="C62" s="166">
        <v>45237.0</v>
      </c>
      <c r="D62" s="60" t="s">
        <v>186</v>
      </c>
      <c r="E62" s="60">
        <v>7000.0</v>
      </c>
      <c r="F62" s="60"/>
      <c r="G62" s="60"/>
      <c r="H62" s="60">
        <f t="shared" si="9"/>
        <v>2800</v>
      </c>
      <c r="I62" s="57">
        <v>45267.0</v>
      </c>
    </row>
    <row r="63">
      <c r="A63" s="18"/>
      <c r="B63" s="18"/>
      <c r="C63" s="166">
        <v>45406.0</v>
      </c>
      <c r="D63" s="139" t="s">
        <v>211</v>
      </c>
      <c r="E63" s="60">
        <v>4245.0</v>
      </c>
      <c r="F63" s="139"/>
      <c r="G63" s="139"/>
      <c r="H63" s="139">
        <f t="shared" ref="H63:H64" si="10">E63*0.5</f>
        <v>2122.5</v>
      </c>
      <c r="I63" s="57">
        <v>45421.0</v>
      </c>
    </row>
    <row r="64">
      <c r="A64" s="18"/>
      <c r="B64" s="18"/>
      <c r="C64" s="166">
        <v>45414.0</v>
      </c>
      <c r="D64" s="139" t="s">
        <v>212</v>
      </c>
      <c r="E64" s="60">
        <v>25200.0</v>
      </c>
      <c r="F64" s="139"/>
      <c r="G64" s="139"/>
      <c r="H64" s="139">
        <f t="shared" si="10"/>
        <v>12600</v>
      </c>
      <c r="I64" s="57">
        <v>45449.0</v>
      </c>
    </row>
    <row r="65">
      <c r="A65" s="18"/>
      <c r="B65" s="18"/>
      <c r="C65" s="138">
        <v>45548.0</v>
      </c>
      <c r="D65" s="141" t="s">
        <v>170</v>
      </c>
      <c r="E65" s="142">
        <v>1500.0</v>
      </c>
      <c r="F65" s="140"/>
      <c r="G65" s="140"/>
      <c r="H65" s="139">
        <v>750.0</v>
      </c>
      <c r="I65" s="57">
        <v>45574.0</v>
      </c>
    </row>
    <row r="66">
      <c r="A66" s="18"/>
      <c r="B66" s="18"/>
      <c r="C66" s="166">
        <v>45562.0</v>
      </c>
      <c r="D66" s="139" t="s">
        <v>213</v>
      </c>
      <c r="E66" s="167">
        <v>8000.0</v>
      </c>
      <c r="F66" s="140"/>
      <c r="G66" s="140"/>
      <c r="H66" s="139">
        <f t="shared" ref="H66:H74" si="11">E66*0.5</f>
        <v>4000</v>
      </c>
      <c r="I66" s="57">
        <v>45574.0</v>
      </c>
    </row>
    <row r="67">
      <c r="A67" s="18"/>
      <c r="B67" s="18"/>
      <c r="C67" s="166">
        <v>45727.0</v>
      </c>
      <c r="D67" s="139" t="s">
        <v>214</v>
      </c>
      <c r="E67" s="167">
        <v>3273.0</v>
      </c>
      <c r="F67" s="140"/>
      <c r="G67" s="140"/>
      <c r="H67" s="139">
        <f t="shared" si="11"/>
        <v>1636.5</v>
      </c>
      <c r="I67" s="57">
        <v>45757.0</v>
      </c>
    </row>
    <row r="68">
      <c r="A68" s="18"/>
      <c r="B68" s="18"/>
      <c r="C68" s="166">
        <v>45733.0</v>
      </c>
      <c r="D68" s="139" t="s">
        <v>201</v>
      </c>
      <c r="E68" s="167">
        <v>2250.0</v>
      </c>
      <c r="F68" s="140"/>
      <c r="G68" s="140"/>
      <c r="H68" s="139">
        <f t="shared" si="11"/>
        <v>1125</v>
      </c>
      <c r="I68" s="57">
        <v>45757.0</v>
      </c>
    </row>
    <row r="69">
      <c r="A69" s="18"/>
      <c r="B69" s="18"/>
      <c r="C69" s="166">
        <v>45740.0</v>
      </c>
      <c r="D69" s="139" t="s">
        <v>215</v>
      </c>
      <c r="E69" s="167">
        <v>2477.0</v>
      </c>
      <c r="F69" s="140"/>
      <c r="G69" s="140"/>
      <c r="H69" s="139">
        <f t="shared" si="11"/>
        <v>1238.5</v>
      </c>
      <c r="I69" s="57">
        <v>45757.0</v>
      </c>
    </row>
    <row r="70">
      <c r="A70" s="18"/>
      <c r="B70" s="18"/>
      <c r="C70" s="166">
        <v>45790.0</v>
      </c>
      <c r="D70" s="139" t="s">
        <v>216</v>
      </c>
      <c r="E70" s="167">
        <v>3190.0</v>
      </c>
      <c r="F70" s="140"/>
      <c r="G70" s="140"/>
      <c r="H70" s="139">
        <f t="shared" si="11"/>
        <v>1595</v>
      </c>
      <c r="I70" s="57">
        <v>45818.0</v>
      </c>
    </row>
    <row r="71">
      <c r="A71" s="18"/>
      <c r="B71" s="18"/>
      <c r="C71" s="166">
        <v>45796.0</v>
      </c>
      <c r="D71" s="139" t="s">
        <v>203</v>
      </c>
      <c r="E71" s="167">
        <v>4100.0</v>
      </c>
      <c r="F71" s="140"/>
      <c r="G71" s="140"/>
      <c r="H71" s="139">
        <f t="shared" si="11"/>
        <v>2050</v>
      </c>
      <c r="I71" s="57">
        <v>45818.0</v>
      </c>
    </row>
    <row r="72">
      <c r="A72" s="18"/>
      <c r="B72" s="18"/>
      <c r="C72" s="166">
        <v>45810.0</v>
      </c>
      <c r="D72" s="139" t="s">
        <v>217</v>
      </c>
      <c r="E72" s="167">
        <v>2245.0</v>
      </c>
      <c r="F72" s="140"/>
      <c r="G72" s="140"/>
      <c r="H72" s="139">
        <f t="shared" si="11"/>
        <v>1122.5</v>
      </c>
      <c r="I72" s="57">
        <v>45848.0</v>
      </c>
    </row>
    <row r="73">
      <c r="A73" s="18"/>
      <c r="B73" s="18"/>
      <c r="C73" s="166">
        <v>45840.0</v>
      </c>
      <c r="D73" s="139" t="s">
        <v>218</v>
      </c>
      <c r="E73" s="167">
        <v>2190.0</v>
      </c>
      <c r="F73" s="140"/>
      <c r="G73" s="140"/>
      <c r="H73" s="139">
        <f t="shared" si="11"/>
        <v>1095</v>
      </c>
      <c r="I73" s="57">
        <v>45879.0</v>
      </c>
    </row>
    <row r="74">
      <c r="A74" s="18"/>
      <c r="B74" s="18"/>
      <c r="C74" s="185">
        <v>45923.0</v>
      </c>
      <c r="D74" s="60" t="s">
        <v>208</v>
      </c>
      <c r="E74" s="60">
        <v>3250.0</v>
      </c>
      <c r="F74" s="139"/>
      <c r="G74" s="139"/>
      <c r="H74" s="139">
        <f t="shared" si="11"/>
        <v>1625</v>
      </c>
      <c r="I74" s="57">
        <v>45940.0</v>
      </c>
    </row>
    <row r="75">
      <c r="A75" s="18"/>
      <c r="B75" s="18"/>
      <c r="C75" s="185">
        <v>45966.0</v>
      </c>
      <c r="D75" s="60" t="s">
        <v>209</v>
      </c>
      <c r="E75" s="60">
        <v>8000.0</v>
      </c>
      <c r="F75" s="139"/>
      <c r="G75" s="139"/>
      <c r="H75" s="139">
        <v>4000.0</v>
      </c>
      <c r="I75" s="57">
        <v>46001.0</v>
      </c>
    </row>
    <row r="76">
      <c r="A76" s="22"/>
      <c r="B76" s="22"/>
      <c r="C76" s="187">
        <v>45950.0</v>
      </c>
      <c r="D76" s="23" t="s">
        <v>171</v>
      </c>
      <c r="E76" s="23">
        <f>611+3082</f>
        <v>3693</v>
      </c>
      <c r="F76" s="147"/>
      <c r="G76" s="147"/>
      <c r="H76" s="147">
        <v>1847.0</v>
      </c>
      <c r="I76" s="29"/>
    </row>
    <row r="77">
      <c r="A77" s="181" t="s">
        <v>104</v>
      </c>
      <c r="B77" s="137">
        <v>44305.0</v>
      </c>
      <c r="C77" s="166">
        <v>45238.0</v>
      </c>
      <c r="D77" s="139" t="s">
        <v>167</v>
      </c>
      <c r="E77" s="60">
        <v>4200.0</v>
      </c>
      <c r="F77" s="139"/>
      <c r="G77" s="139"/>
      <c r="H77" s="139">
        <f>E77*0.4</f>
        <v>1680</v>
      </c>
      <c r="I77" s="57">
        <v>45240.0</v>
      </c>
    </row>
    <row r="78">
      <c r="A78" s="22"/>
      <c r="B78" s="22"/>
      <c r="C78" s="188">
        <v>45994.0</v>
      </c>
      <c r="D78" s="147" t="s">
        <v>219</v>
      </c>
      <c r="E78" s="23"/>
      <c r="F78" s="147">
        <v>3280.0</v>
      </c>
      <c r="G78" s="147"/>
      <c r="H78" s="147">
        <v>3280.0</v>
      </c>
      <c r="I78" s="29"/>
    </row>
    <row r="79" hidden="1">
      <c r="A79" s="189" t="s">
        <v>110</v>
      </c>
      <c r="B79" s="158">
        <v>44354.0</v>
      </c>
      <c r="C79" s="190">
        <v>45291.0</v>
      </c>
      <c r="D79" s="19" t="s">
        <v>168</v>
      </c>
      <c r="E79" s="19">
        <v>1400.0</v>
      </c>
      <c r="F79" s="160"/>
      <c r="G79" s="160"/>
      <c r="H79" s="160">
        <f t="shared" ref="H79:H86" si="12">E79*0.4</f>
        <v>560</v>
      </c>
      <c r="I79" s="21">
        <v>45328.0</v>
      </c>
    </row>
    <row r="80" hidden="1">
      <c r="A80" s="18"/>
      <c r="B80" s="18"/>
      <c r="C80" s="18"/>
      <c r="D80" s="19" t="s">
        <v>220</v>
      </c>
      <c r="E80" s="19">
        <v>1000.0</v>
      </c>
      <c r="F80" s="160"/>
      <c r="G80" s="160"/>
      <c r="H80" s="160">
        <f t="shared" si="12"/>
        <v>400</v>
      </c>
      <c r="I80" s="21">
        <v>45328.0</v>
      </c>
    </row>
    <row r="81" hidden="1">
      <c r="A81" s="22"/>
      <c r="B81" s="22"/>
      <c r="C81" s="22"/>
      <c r="D81" s="19" t="s">
        <v>221</v>
      </c>
      <c r="E81" s="19">
        <v>2000.0</v>
      </c>
      <c r="F81" s="160"/>
      <c r="G81" s="160"/>
      <c r="H81" s="160">
        <f t="shared" si="12"/>
        <v>800</v>
      </c>
      <c r="I81" s="21">
        <v>45328.0</v>
      </c>
    </row>
    <row r="82">
      <c r="A82" s="182" t="s">
        <v>100</v>
      </c>
      <c r="B82" s="154">
        <v>44529.0</v>
      </c>
      <c r="C82" s="166">
        <v>45238.0</v>
      </c>
      <c r="D82" s="139" t="s">
        <v>167</v>
      </c>
      <c r="E82" s="60">
        <v>4200.0</v>
      </c>
      <c r="F82" s="139"/>
      <c r="G82" s="139"/>
      <c r="H82" s="139">
        <f t="shared" si="12"/>
        <v>1680</v>
      </c>
      <c r="I82" s="57">
        <v>45240.0</v>
      </c>
    </row>
    <row r="83">
      <c r="A83" s="181" t="s">
        <v>60</v>
      </c>
      <c r="B83" s="137">
        <v>44531.0</v>
      </c>
      <c r="C83" s="186">
        <v>45121.0</v>
      </c>
      <c r="D83" s="60" t="s">
        <v>222</v>
      </c>
      <c r="E83" s="60">
        <v>2800.0</v>
      </c>
      <c r="F83" s="139"/>
      <c r="G83" s="139"/>
      <c r="H83" s="139">
        <f t="shared" si="12"/>
        <v>1120</v>
      </c>
      <c r="I83" s="57">
        <v>45179.0</v>
      </c>
    </row>
    <row r="84">
      <c r="A84" s="18"/>
      <c r="B84" s="18"/>
      <c r="C84" s="18"/>
      <c r="D84" s="60" t="s">
        <v>223</v>
      </c>
      <c r="E84" s="60">
        <v>1799.0</v>
      </c>
      <c r="F84" s="139"/>
      <c r="G84" s="139"/>
      <c r="H84" s="139">
        <f t="shared" si="12"/>
        <v>719.6</v>
      </c>
      <c r="I84" s="57">
        <v>45179.0</v>
      </c>
    </row>
    <row r="85">
      <c r="A85" s="18"/>
      <c r="B85" s="18"/>
      <c r="C85" s="22"/>
      <c r="D85" s="60" t="s">
        <v>224</v>
      </c>
      <c r="E85" s="60">
        <v>7480.0</v>
      </c>
      <c r="F85" s="139"/>
      <c r="G85" s="139"/>
      <c r="H85" s="139">
        <f t="shared" si="12"/>
        <v>2992</v>
      </c>
      <c r="I85" s="57">
        <v>45179.0</v>
      </c>
    </row>
    <row r="86">
      <c r="A86" s="18"/>
      <c r="B86" s="18"/>
      <c r="C86" s="185">
        <v>45246.0</v>
      </c>
      <c r="D86" s="60" t="s">
        <v>178</v>
      </c>
      <c r="E86" s="60">
        <v>6375.0</v>
      </c>
      <c r="F86" s="139"/>
      <c r="G86" s="139"/>
      <c r="H86" s="139">
        <f t="shared" si="12"/>
        <v>2550</v>
      </c>
      <c r="I86" s="57">
        <v>45267.0</v>
      </c>
    </row>
    <row r="87">
      <c r="A87" s="18"/>
      <c r="B87" s="18"/>
      <c r="C87" s="185">
        <v>45404.0</v>
      </c>
      <c r="D87" s="60" t="s">
        <v>225</v>
      </c>
      <c r="E87" s="60">
        <v>3533.0</v>
      </c>
      <c r="F87" s="139"/>
      <c r="G87" s="139"/>
      <c r="H87" s="139">
        <f>E87/2</f>
        <v>1766.5</v>
      </c>
      <c r="I87" s="57">
        <v>45421.0</v>
      </c>
    </row>
    <row r="88">
      <c r="A88" s="18"/>
      <c r="B88" s="18"/>
      <c r="C88" s="185">
        <v>45421.0</v>
      </c>
      <c r="D88" s="60" t="s">
        <v>226</v>
      </c>
      <c r="E88" s="60">
        <v>25000.0</v>
      </c>
      <c r="F88" s="139"/>
      <c r="G88" s="139"/>
      <c r="H88" s="139">
        <f t="shared" ref="H88:H89" si="13">E88*0.5</f>
        <v>12500</v>
      </c>
      <c r="I88" s="57">
        <v>45449.0</v>
      </c>
    </row>
    <row r="89">
      <c r="A89" s="18"/>
      <c r="B89" s="18"/>
      <c r="C89" s="185">
        <v>45586.0</v>
      </c>
      <c r="D89" s="60" t="s">
        <v>227</v>
      </c>
      <c r="E89" s="60">
        <v>4000.0</v>
      </c>
      <c r="F89" s="139"/>
      <c r="G89" s="139"/>
      <c r="H89" s="139">
        <f t="shared" si="13"/>
        <v>2000</v>
      </c>
      <c r="I89" s="57">
        <v>45606.0</v>
      </c>
    </row>
    <row r="90">
      <c r="A90" s="22"/>
      <c r="B90" s="22"/>
      <c r="C90" s="185">
        <v>45586.0</v>
      </c>
      <c r="D90" s="139" t="s">
        <v>228</v>
      </c>
      <c r="E90" s="60">
        <v>9551.0</v>
      </c>
      <c r="F90" s="139">
        <v>3559.0</v>
      </c>
      <c r="G90" s="139"/>
      <c r="H90" s="139">
        <f>E90*0.5+F90</f>
        <v>8334.5</v>
      </c>
      <c r="I90" s="57">
        <v>45606.0</v>
      </c>
    </row>
    <row r="91">
      <c r="A91" s="191" t="s">
        <v>81</v>
      </c>
      <c r="B91" s="137">
        <v>44602.0</v>
      </c>
      <c r="C91" s="186">
        <v>45121.0</v>
      </c>
      <c r="D91" s="60" t="s">
        <v>177</v>
      </c>
      <c r="E91" s="60">
        <v>3825.0</v>
      </c>
      <c r="F91" s="139"/>
      <c r="G91" s="139"/>
      <c r="H91" s="139">
        <f t="shared" ref="H91:H92" si="14">E91*0.4</f>
        <v>1530</v>
      </c>
      <c r="I91" s="57">
        <v>45179.0</v>
      </c>
    </row>
    <row r="92">
      <c r="A92" s="18"/>
      <c r="B92" s="18"/>
      <c r="C92" s="22"/>
      <c r="D92" s="60" t="s">
        <v>229</v>
      </c>
      <c r="E92" s="60">
        <v>3600.0</v>
      </c>
      <c r="F92" s="139"/>
      <c r="G92" s="139"/>
      <c r="H92" s="139">
        <f t="shared" si="14"/>
        <v>1440</v>
      </c>
      <c r="I92" s="57">
        <v>45179.0</v>
      </c>
    </row>
    <row r="93">
      <c r="A93" s="18"/>
      <c r="B93" s="18"/>
      <c r="C93" s="138">
        <v>45467.0</v>
      </c>
      <c r="D93" s="139" t="s">
        <v>169</v>
      </c>
      <c r="E93" s="139">
        <v>3600.0</v>
      </c>
      <c r="F93" s="139">
        <v>2010.0</v>
      </c>
      <c r="G93" s="139"/>
      <c r="H93" s="139">
        <f>E93*0.5+2010</f>
        <v>3810</v>
      </c>
      <c r="I93" s="57">
        <v>45514.0</v>
      </c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</row>
    <row r="94">
      <c r="A94" s="22"/>
      <c r="B94" s="22"/>
      <c r="C94" s="168">
        <v>45804.0</v>
      </c>
      <c r="D94" s="169" t="s">
        <v>182</v>
      </c>
      <c r="E94" s="170">
        <v>2560.0</v>
      </c>
      <c r="F94" s="171">
        <v>285.0</v>
      </c>
      <c r="G94" s="171"/>
      <c r="H94" s="172">
        <f>E94*0.5+F94</f>
        <v>1565</v>
      </c>
      <c r="I94" s="173">
        <v>45818.0</v>
      </c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</row>
    <row r="95" hidden="1">
      <c r="A95" s="193" t="s">
        <v>117</v>
      </c>
      <c r="B95" s="194">
        <v>44606.0</v>
      </c>
      <c r="C95" s="159">
        <v>45121.0</v>
      </c>
      <c r="D95" s="160" t="s">
        <v>175</v>
      </c>
      <c r="E95" s="160">
        <v>3400.0</v>
      </c>
      <c r="F95" s="160"/>
      <c r="G95" s="160"/>
      <c r="H95" s="160">
        <f>E95*0.4</f>
        <v>1360</v>
      </c>
      <c r="I95" s="21">
        <v>45179.0</v>
      </c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</row>
    <row r="96">
      <c r="A96" s="195" t="s">
        <v>122</v>
      </c>
      <c r="B96" s="154">
        <v>44732.0</v>
      </c>
      <c r="C96" s="143">
        <v>46002.0</v>
      </c>
      <c r="D96" s="23" t="s">
        <v>172</v>
      </c>
      <c r="E96" s="196"/>
      <c r="F96" s="147">
        <v>700.0</v>
      </c>
      <c r="G96" s="147"/>
      <c r="H96" s="147">
        <v>700.0</v>
      </c>
      <c r="I96" s="43"/>
    </row>
    <row r="97">
      <c r="A97" s="148" t="s">
        <v>56</v>
      </c>
      <c r="B97" s="137">
        <v>44774.0</v>
      </c>
      <c r="C97" s="138">
        <v>45474.0</v>
      </c>
      <c r="D97" s="139" t="s">
        <v>230</v>
      </c>
      <c r="E97" s="139">
        <v>700.0</v>
      </c>
      <c r="F97" s="139">
        <v>1580.0</v>
      </c>
      <c r="G97" s="139"/>
      <c r="H97" s="139">
        <f>E97*0.5+1580</f>
        <v>1930</v>
      </c>
      <c r="I97" s="57">
        <v>45483.0</v>
      </c>
    </row>
    <row r="98">
      <c r="A98" s="22"/>
      <c r="B98" s="22"/>
      <c r="C98" s="143">
        <v>45993.0</v>
      </c>
      <c r="D98" s="147" t="s">
        <v>231</v>
      </c>
      <c r="E98" s="147">
        <v>3500.0</v>
      </c>
      <c r="F98" s="147"/>
      <c r="G98" s="147"/>
      <c r="H98" s="147">
        <v>1750.0</v>
      </c>
      <c r="I98" s="29"/>
    </row>
    <row r="99">
      <c r="A99" s="148" t="s">
        <v>61</v>
      </c>
      <c r="B99" s="197">
        <v>44971.0</v>
      </c>
      <c r="C99" s="138">
        <v>45531.0</v>
      </c>
      <c r="D99" s="139" t="s">
        <v>224</v>
      </c>
      <c r="E99" s="139">
        <v>7480.0</v>
      </c>
      <c r="F99" s="139">
        <v>4200.0</v>
      </c>
      <c r="G99" s="139"/>
      <c r="H99" s="139">
        <f>E99*0.5+4200</f>
        <v>7940</v>
      </c>
      <c r="I99" s="57">
        <v>45544.0</v>
      </c>
    </row>
    <row r="100">
      <c r="A100" s="18"/>
      <c r="B100" s="18"/>
      <c r="C100" s="138">
        <v>45586.0</v>
      </c>
      <c r="D100" s="139" t="s">
        <v>228</v>
      </c>
      <c r="E100" s="139">
        <v>8500.0</v>
      </c>
      <c r="F100" s="139">
        <v>4125.0</v>
      </c>
      <c r="G100" s="139"/>
      <c r="H100" s="139">
        <f>E100*0.5+F100</f>
        <v>8375</v>
      </c>
      <c r="I100" s="57">
        <v>45636.0</v>
      </c>
    </row>
    <row r="101">
      <c r="A101" s="18"/>
      <c r="B101" s="18"/>
      <c r="C101" s="138">
        <v>45733.0</v>
      </c>
      <c r="D101" s="139" t="s">
        <v>232</v>
      </c>
      <c r="E101" s="139">
        <v>2500.0</v>
      </c>
      <c r="F101" s="139"/>
      <c r="G101" s="139"/>
      <c r="H101" s="139">
        <f t="shared" ref="H101:H102" si="15">E101*0.5</f>
        <v>1250</v>
      </c>
      <c r="I101" s="57">
        <v>45757.0</v>
      </c>
    </row>
    <row r="102">
      <c r="A102" s="18"/>
      <c r="B102" s="18"/>
      <c r="C102" s="138">
        <v>45768.0</v>
      </c>
      <c r="D102" s="139" t="s">
        <v>233</v>
      </c>
      <c r="E102" s="139">
        <v>2500.0</v>
      </c>
      <c r="F102" s="139"/>
      <c r="G102" s="139"/>
      <c r="H102" s="139">
        <f t="shared" si="15"/>
        <v>1250</v>
      </c>
      <c r="I102" s="57">
        <v>45779.0</v>
      </c>
    </row>
    <row r="103">
      <c r="A103" s="22"/>
      <c r="B103" s="22"/>
      <c r="C103" s="187">
        <v>45958.0</v>
      </c>
      <c r="D103" s="23" t="s">
        <v>171</v>
      </c>
      <c r="E103" s="147">
        <v>1930.0</v>
      </c>
      <c r="F103" s="147"/>
      <c r="G103" s="147"/>
      <c r="H103" s="147">
        <v>965.0</v>
      </c>
      <c r="I103" s="29"/>
    </row>
    <row r="104">
      <c r="A104" s="195" t="s">
        <v>87</v>
      </c>
      <c r="B104" s="154">
        <v>44986.0</v>
      </c>
      <c r="C104" s="138">
        <v>45462.0</v>
      </c>
      <c r="D104" s="139" t="s">
        <v>169</v>
      </c>
      <c r="E104" s="139">
        <v>3600.0</v>
      </c>
      <c r="F104" s="139">
        <v>2010.0</v>
      </c>
      <c r="G104" s="139"/>
      <c r="H104" s="139">
        <f>E104*0.5+2010</f>
        <v>3810</v>
      </c>
      <c r="I104" s="57">
        <v>45514.0</v>
      </c>
    </row>
    <row r="105">
      <c r="A105" s="148" t="s">
        <v>88</v>
      </c>
      <c r="B105" s="137">
        <v>45022.0</v>
      </c>
      <c r="C105" s="138">
        <v>45562.0</v>
      </c>
      <c r="D105" s="198" t="s">
        <v>234</v>
      </c>
      <c r="E105" s="139">
        <v>150.0</v>
      </c>
      <c r="F105" s="139">
        <v>1400.0</v>
      </c>
      <c r="G105" s="139"/>
      <c r="H105" s="139">
        <v>1475.0</v>
      </c>
      <c r="I105" s="57">
        <v>45574.0</v>
      </c>
    </row>
    <row r="106">
      <c r="A106" s="18"/>
      <c r="B106" s="18"/>
      <c r="C106" s="199">
        <v>45680.0</v>
      </c>
      <c r="D106" s="60" t="s">
        <v>226</v>
      </c>
      <c r="E106" s="139">
        <v>150.0</v>
      </c>
      <c r="F106" s="139">
        <v>1400.0</v>
      </c>
      <c r="G106" s="139"/>
      <c r="H106" s="139">
        <f>E106*0.5+F106</f>
        <v>1475</v>
      </c>
      <c r="I106" s="57">
        <v>45696.0</v>
      </c>
    </row>
    <row r="107">
      <c r="A107" s="18"/>
      <c r="B107" s="18"/>
      <c r="C107" s="199">
        <v>45938.0</v>
      </c>
      <c r="D107" s="60" t="s">
        <v>235</v>
      </c>
      <c r="E107" s="139"/>
      <c r="F107" s="139">
        <f>1450+315</f>
        <v>1765</v>
      </c>
      <c r="G107" s="139"/>
      <c r="H107" s="139">
        <v>1765.0</v>
      </c>
      <c r="I107" s="57">
        <v>45971.0</v>
      </c>
    </row>
    <row r="108">
      <c r="A108" s="18"/>
      <c r="B108" s="18"/>
      <c r="C108" s="199">
        <v>45938.0</v>
      </c>
      <c r="D108" s="60" t="s">
        <v>236</v>
      </c>
      <c r="E108" s="139"/>
      <c r="F108" s="139">
        <v>2230.0</v>
      </c>
      <c r="G108" s="139"/>
      <c r="H108" s="139">
        <v>2230.0</v>
      </c>
      <c r="I108" s="57">
        <v>45971.0</v>
      </c>
    </row>
    <row r="109">
      <c r="A109" s="22"/>
      <c r="B109" s="22"/>
      <c r="C109" s="200"/>
      <c r="D109" s="164"/>
      <c r="E109" s="201"/>
      <c r="F109" s="201"/>
      <c r="G109" s="201"/>
      <c r="H109" s="201"/>
      <c r="I109" s="59"/>
    </row>
    <row r="110" hidden="1">
      <c r="A110" s="157" t="s">
        <v>131</v>
      </c>
      <c r="B110" s="158">
        <v>45103.0</v>
      </c>
      <c r="C110" s="202">
        <v>45475.0</v>
      </c>
      <c r="D110" s="160" t="s">
        <v>237</v>
      </c>
      <c r="E110" s="160">
        <v>1999.0</v>
      </c>
      <c r="F110" s="160"/>
      <c r="G110" s="160"/>
      <c r="H110" s="160">
        <f t="shared" ref="H110:H111" si="16">E110*0.5</f>
        <v>999.5</v>
      </c>
      <c r="I110" s="21">
        <v>45514.0</v>
      </c>
    </row>
    <row r="111" hidden="1">
      <c r="A111" s="22"/>
      <c r="B111" s="22"/>
      <c r="C111" s="203">
        <v>45558.0</v>
      </c>
      <c r="D111" s="160" t="s">
        <v>238</v>
      </c>
      <c r="E111" s="160">
        <v>4500.0</v>
      </c>
      <c r="F111" s="160"/>
      <c r="G111" s="160"/>
      <c r="H111" s="160">
        <f t="shared" si="16"/>
        <v>2250</v>
      </c>
      <c r="I111" s="21">
        <v>45574.0</v>
      </c>
    </row>
    <row r="112">
      <c r="A112" s="195" t="s">
        <v>118</v>
      </c>
      <c r="B112" s="154">
        <v>45103.0</v>
      </c>
      <c r="C112" s="155"/>
      <c r="D112" s="156"/>
      <c r="E112" s="156"/>
      <c r="F112" s="139"/>
      <c r="G112" s="139"/>
      <c r="H112" s="139">
        <f t="shared" ref="H112:H114" si="17">E112*0.4</f>
        <v>0</v>
      </c>
      <c r="I112" s="39"/>
    </row>
    <row r="113">
      <c r="A113" s="204" t="s">
        <v>66</v>
      </c>
      <c r="B113" s="154">
        <v>45117.0</v>
      </c>
      <c r="C113" s="184"/>
      <c r="D113" s="39"/>
      <c r="E113" s="39"/>
      <c r="F113" s="139"/>
      <c r="G113" s="139"/>
      <c r="H113" s="139">
        <f t="shared" si="17"/>
        <v>0</v>
      </c>
      <c r="I113" s="39"/>
    </row>
    <row r="114">
      <c r="A114" s="204" t="s">
        <v>159</v>
      </c>
      <c r="B114" s="154">
        <v>45124.0</v>
      </c>
      <c r="C114" s="184"/>
      <c r="D114" s="39"/>
      <c r="E114" s="39"/>
      <c r="F114" s="139"/>
      <c r="G114" s="139"/>
      <c r="H114" s="139">
        <f t="shared" si="17"/>
        <v>0</v>
      </c>
      <c r="I114" s="39"/>
    </row>
    <row r="115">
      <c r="A115" s="66" t="s">
        <v>63</v>
      </c>
      <c r="B115" s="137">
        <v>45166.0</v>
      </c>
      <c r="C115" s="166">
        <v>45562.0</v>
      </c>
      <c r="D115" s="198" t="s">
        <v>239</v>
      </c>
      <c r="E115" s="60">
        <v>150.0</v>
      </c>
      <c r="F115" s="139">
        <v>1085.0</v>
      </c>
      <c r="G115" s="139"/>
      <c r="H115" s="139">
        <f t="shared" ref="H115:H116" si="18">E115*0.5+F115</f>
        <v>1160</v>
      </c>
      <c r="I115" s="57">
        <v>45574.0</v>
      </c>
    </row>
    <row r="116">
      <c r="A116" s="18"/>
      <c r="B116" s="18"/>
      <c r="C116" s="166">
        <v>45680.0</v>
      </c>
      <c r="D116" s="60" t="s">
        <v>226</v>
      </c>
      <c r="E116" s="60">
        <v>150.0</v>
      </c>
      <c r="F116" s="139">
        <v>1400.0</v>
      </c>
      <c r="G116" s="139"/>
      <c r="H116" s="139">
        <f t="shared" si="18"/>
        <v>1475</v>
      </c>
      <c r="I116" s="57">
        <v>45696.0</v>
      </c>
    </row>
    <row r="117">
      <c r="A117" s="18"/>
      <c r="B117" s="18"/>
      <c r="C117" s="168">
        <v>45897.0</v>
      </c>
      <c r="D117" s="205" t="s">
        <v>240</v>
      </c>
      <c r="E117" s="205"/>
      <c r="F117" s="206">
        <v>1400.0</v>
      </c>
      <c r="G117" s="205"/>
      <c r="H117" s="206">
        <v>1400.0</v>
      </c>
      <c r="I117" s="173">
        <v>45910.0</v>
      </c>
    </row>
    <row r="118">
      <c r="A118" s="22"/>
      <c r="B118" s="22"/>
      <c r="C118" s="168">
        <v>45932.0</v>
      </c>
      <c r="D118" s="139" t="s">
        <v>241</v>
      </c>
      <c r="E118" s="205"/>
      <c r="F118" s="207">
        <v>1776.0</v>
      </c>
      <c r="G118" s="205"/>
      <c r="H118" s="207">
        <v>1776.0</v>
      </c>
      <c r="I118" s="57">
        <v>45940.0</v>
      </c>
    </row>
    <row r="119">
      <c r="A119" s="66" t="s">
        <v>111</v>
      </c>
      <c r="B119" s="208">
        <v>45170.0</v>
      </c>
      <c r="C119" s="185">
        <v>45558.0</v>
      </c>
      <c r="D119" s="60" t="s">
        <v>242</v>
      </c>
      <c r="E119" s="209">
        <v>14500.0</v>
      </c>
      <c r="F119" s="210">
        <v>1400.0</v>
      </c>
      <c r="G119" s="210"/>
      <c r="H119" s="210">
        <v>8650.0</v>
      </c>
      <c r="I119" s="57">
        <v>45574.0</v>
      </c>
    </row>
    <row r="120">
      <c r="A120" s="22"/>
      <c r="B120" s="22"/>
      <c r="C120" s="166"/>
      <c r="D120" s="60"/>
      <c r="E120" s="60"/>
      <c r="F120" s="139"/>
      <c r="G120" s="139"/>
      <c r="H120" s="139"/>
      <c r="I120" s="39"/>
    </row>
    <row r="121" hidden="1">
      <c r="A121" s="211" t="s">
        <v>93</v>
      </c>
      <c r="B121" s="212">
        <v>45176.0</v>
      </c>
      <c r="C121" s="213">
        <v>45562.0</v>
      </c>
      <c r="D121" s="214" t="s">
        <v>243</v>
      </c>
      <c r="E121" s="160">
        <v>150.0</v>
      </c>
      <c r="F121" s="160">
        <v>1400.0</v>
      </c>
      <c r="G121" s="160"/>
      <c r="H121" s="160">
        <f>(E121*0.5)+F121</f>
        <v>1475</v>
      </c>
      <c r="I121" s="21">
        <v>45574.0</v>
      </c>
    </row>
    <row r="122">
      <c r="A122" s="204" t="s">
        <v>244</v>
      </c>
      <c r="B122" s="215">
        <v>45201.0</v>
      </c>
      <c r="C122" s="168">
        <v>45804.0</v>
      </c>
      <c r="D122" s="169" t="s">
        <v>182</v>
      </c>
      <c r="E122" s="170">
        <v>2560.0</v>
      </c>
      <c r="F122" s="171">
        <f>338+375</f>
        <v>713</v>
      </c>
      <c r="G122" s="171"/>
      <c r="H122" s="172">
        <f t="shared" ref="H122:H123" si="19">E122*0.5+F122</f>
        <v>1993</v>
      </c>
      <c r="I122" s="173">
        <v>45818.0</v>
      </c>
    </row>
    <row r="123">
      <c r="A123" s="216" t="s">
        <v>76</v>
      </c>
      <c r="B123" s="217">
        <v>45264.0</v>
      </c>
      <c r="C123" s="168">
        <v>45804.0</v>
      </c>
      <c r="D123" s="169" t="s">
        <v>182</v>
      </c>
      <c r="E123" s="170">
        <v>2560.0</v>
      </c>
      <c r="F123" s="171">
        <f>285+285</f>
        <v>570</v>
      </c>
      <c r="G123" s="171"/>
      <c r="H123" s="172">
        <f t="shared" si="19"/>
        <v>1850</v>
      </c>
      <c r="I123" s="173">
        <v>45818.0</v>
      </c>
    </row>
    <row r="124">
      <c r="A124" s="209" t="s">
        <v>82</v>
      </c>
      <c r="B124" s="154">
        <v>45383.0</v>
      </c>
      <c r="C124" s="184"/>
      <c r="D124" s="39"/>
      <c r="E124" s="39"/>
      <c r="F124" s="139"/>
      <c r="G124" s="139"/>
      <c r="H124" s="139"/>
      <c r="I124" s="39"/>
    </row>
    <row r="125">
      <c r="A125" s="66" t="s">
        <v>132</v>
      </c>
      <c r="B125" s="137">
        <v>45383.0</v>
      </c>
      <c r="C125" s="185">
        <v>45799.0</v>
      </c>
      <c r="D125" s="60" t="s">
        <v>245</v>
      </c>
      <c r="E125" s="60">
        <v>3300.0</v>
      </c>
      <c r="F125" s="139"/>
      <c r="G125" s="139"/>
      <c r="H125" s="139">
        <f>E125*0.5</f>
        <v>1650</v>
      </c>
      <c r="I125" s="57">
        <v>45818.0</v>
      </c>
    </row>
    <row r="126">
      <c r="A126" s="22"/>
      <c r="B126" s="22"/>
      <c r="C126" s="188">
        <v>45993.0</v>
      </c>
      <c r="D126" s="23" t="s">
        <v>172</v>
      </c>
      <c r="E126" s="23"/>
      <c r="F126" s="147">
        <v>1400.0</v>
      </c>
      <c r="G126" s="147">
        <v>1000.0</v>
      </c>
      <c r="H126" s="147"/>
      <c r="I126" s="29"/>
    </row>
    <row r="127">
      <c r="A127" s="216" t="s">
        <v>89</v>
      </c>
      <c r="B127" s="217">
        <v>45505.0</v>
      </c>
      <c r="C127" s="184"/>
      <c r="D127" s="39"/>
      <c r="E127" s="39"/>
      <c r="F127" s="39"/>
      <c r="G127" s="39"/>
      <c r="H127" s="39"/>
      <c r="I127" s="39"/>
    </row>
    <row r="128">
      <c r="A128" s="127" t="s">
        <v>64</v>
      </c>
      <c r="B128" s="128">
        <v>45536.0</v>
      </c>
      <c r="C128" s="166">
        <v>45674.0</v>
      </c>
      <c r="D128" s="60" t="s">
        <v>226</v>
      </c>
      <c r="E128" s="60">
        <v>150.0</v>
      </c>
      <c r="F128" s="60">
        <v>1260.0</v>
      </c>
      <c r="G128" s="60"/>
      <c r="H128" s="39">
        <f>E128*0.5+F128</f>
        <v>1335</v>
      </c>
      <c r="I128" s="57">
        <v>45696.0</v>
      </c>
    </row>
    <row r="129">
      <c r="A129" s="22"/>
      <c r="B129" s="22"/>
      <c r="C129" s="166">
        <v>45895.0</v>
      </c>
      <c r="D129" s="60" t="s">
        <v>240</v>
      </c>
      <c r="E129" s="60"/>
      <c r="F129" s="60">
        <v>1400.0</v>
      </c>
      <c r="G129" s="60"/>
      <c r="H129" s="60">
        <v>1400.0</v>
      </c>
      <c r="I129" s="57">
        <v>45910.0</v>
      </c>
    </row>
    <row r="130">
      <c r="A130" s="216" t="s">
        <v>101</v>
      </c>
      <c r="B130" s="217">
        <v>45627.0</v>
      </c>
      <c r="C130" s="184"/>
      <c r="D130" s="39"/>
      <c r="E130" s="39"/>
      <c r="F130" s="39"/>
      <c r="G130" s="39"/>
      <c r="H130" s="39"/>
      <c r="I130" s="39"/>
    </row>
    <row r="131" hidden="1">
      <c r="A131" s="216" t="s">
        <v>125</v>
      </c>
      <c r="B131" s="217">
        <v>45642.0</v>
      </c>
      <c r="C131" s="184"/>
      <c r="D131" s="39"/>
      <c r="E131" s="39"/>
      <c r="F131" s="39"/>
      <c r="G131" s="39"/>
      <c r="H131" s="39"/>
      <c r="I131" s="39"/>
    </row>
    <row r="132" hidden="1">
      <c r="A132" s="216" t="s">
        <v>107</v>
      </c>
      <c r="B132" s="217">
        <v>45665.0</v>
      </c>
      <c r="C132" s="184"/>
      <c r="D132" s="39"/>
      <c r="E132" s="39"/>
      <c r="F132" s="39"/>
      <c r="G132" s="39"/>
      <c r="H132" s="39"/>
      <c r="I132" s="39"/>
    </row>
    <row r="133">
      <c r="A133" s="218" t="s">
        <v>121</v>
      </c>
      <c r="B133" s="215">
        <v>45691.0</v>
      </c>
      <c r="C133" s="188">
        <v>45937.0</v>
      </c>
      <c r="D133" s="23" t="s">
        <v>171</v>
      </c>
      <c r="E133" s="23">
        <v>961.0</v>
      </c>
      <c r="F133" s="43"/>
      <c r="G133" s="43"/>
      <c r="H133" s="23">
        <v>961.0</v>
      </c>
      <c r="I133" s="43"/>
    </row>
    <row r="134">
      <c r="A134" s="216" t="s">
        <v>112</v>
      </c>
      <c r="B134" s="215">
        <v>45733.0</v>
      </c>
      <c r="C134" s="166">
        <v>45888.0</v>
      </c>
      <c r="D134" s="60" t="s">
        <v>246</v>
      </c>
      <c r="E134" s="60">
        <v>1586.0</v>
      </c>
      <c r="F134" s="60">
        <v>4035.0</v>
      </c>
      <c r="G134" s="39"/>
      <c r="H134" s="39">
        <f>E134*0.5+F134</f>
        <v>4828</v>
      </c>
      <c r="I134" s="57">
        <v>45910.0</v>
      </c>
    </row>
    <row r="135">
      <c r="A135" s="219" t="s">
        <v>123</v>
      </c>
      <c r="B135" s="208">
        <v>45733.0</v>
      </c>
      <c r="C135" s="166">
        <v>45938.0</v>
      </c>
      <c r="D135" s="60" t="s">
        <v>247</v>
      </c>
      <c r="E135" s="39"/>
      <c r="F135" s="60">
        <v>1400.0</v>
      </c>
      <c r="G135" s="39"/>
      <c r="H135" s="60">
        <v>1400.0</v>
      </c>
      <c r="I135" s="57">
        <v>45971.0</v>
      </c>
    </row>
    <row r="136">
      <c r="A136" s="22"/>
      <c r="B136" s="22"/>
      <c r="C136" s="166">
        <v>45938.0</v>
      </c>
      <c r="D136" s="60" t="s">
        <v>248</v>
      </c>
      <c r="E136" s="39"/>
      <c r="F136" s="60">
        <v>1450.0</v>
      </c>
      <c r="G136" s="39"/>
      <c r="H136" s="60">
        <v>1450.0</v>
      </c>
      <c r="I136" s="57">
        <v>45971.0</v>
      </c>
    </row>
    <row r="137">
      <c r="A137" s="216" t="s">
        <v>139</v>
      </c>
      <c r="B137" s="215">
        <v>45810.0</v>
      </c>
      <c r="C137" s="188">
        <v>45993.0</v>
      </c>
      <c r="D137" s="23" t="s">
        <v>172</v>
      </c>
      <c r="E137" s="43"/>
      <c r="F137" s="23">
        <v>1400.0</v>
      </c>
      <c r="G137" s="23">
        <v>1000.0</v>
      </c>
      <c r="H137" s="43"/>
      <c r="I137" s="43"/>
    </row>
    <row r="138">
      <c r="A138" s="216" t="s">
        <v>127</v>
      </c>
      <c r="B138" s="215">
        <v>45810.0</v>
      </c>
      <c r="C138" s="188">
        <v>45993.0</v>
      </c>
      <c r="D138" s="23" t="s">
        <v>172</v>
      </c>
      <c r="E138" s="43"/>
      <c r="F138" s="23">
        <v>1375.0</v>
      </c>
      <c r="G138" s="43"/>
      <c r="H138" s="43"/>
      <c r="I138" s="43"/>
    </row>
    <row r="139">
      <c r="A139" s="216" t="s">
        <v>90</v>
      </c>
      <c r="B139" s="215">
        <v>45839.0</v>
      </c>
      <c r="C139" s="184"/>
      <c r="D139" s="39"/>
      <c r="E139" s="39"/>
      <c r="F139" s="39"/>
      <c r="G139" s="39"/>
      <c r="H139" s="39"/>
      <c r="I139" s="39"/>
    </row>
    <row r="140">
      <c r="A140" s="218" t="s">
        <v>108</v>
      </c>
      <c r="B140" s="215">
        <v>45839.0</v>
      </c>
      <c r="C140" s="184"/>
      <c r="D140" s="39"/>
      <c r="E140" s="39"/>
      <c r="F140" s="39"/>
      <c r="G140" s="39"/>
      <c r="H140" s="39"/>
      <c r="I140" s="39"/>
    </row>
    <row r="141">
      <c r="A141" s="218" t="s">
        <v>67</v>
      </c>
      <c r="B141" s="215">
        <v>45870.0</v>
      </c>
      <c r="C141" s="184"/>
      <c r="D141" s="39"/>
      <c r="E141" s="39"/>
      <c r="F141" s="39"/>
      <c r="G141" s="39"/>
      <c r="H141" s="39"/>
      <c r="I141" s="39"/>
    </row>
    <row r="142">
      <c r="A142" s="218" t="s">
        <v>91</v>
      </c>
      <c r="B142" s="215">
        <v>45875.0</v>
      </c>
      <c r="C142" s="184"/>
      <c r="D142" s="39"/>
      <c r="E142" s="39"/>
      <c r="F142" s="39"/>
      <c r="G142" s="39"/>
      <c r="H142" s="39"/>
      <c r="I142" s="39"/>
    </row>
    <row r="143">
      <c r="A143" s="209" t="s">
        <v>102</v>
      </c>
      <c r="B143" s="215">
        <v>45981.0</v>
      </c>
      <c r="C143" s="184"/>
      <c r="D143" s="39"/>
      <c r="E143" s="39"/>
      <c r="F143" s="39"/>
      <c r="G143" s="39"/>
      <c r="H143" s="39"/>
      <c r="I143" s="39"/>
    </row>
    <row r="144">
      <c r="A144" s="220"/>
      <c r="B144" s="221"/>
      <c r="C144" s="222"/>
    </row>
    <row r="145">
      <c r="A145" s="220"/>
      <c r="B145" s="220"/>
      <c r="C145" s="222"/>
    </row>
    <row r="146">
      <c r="A146" s="220"/>
      <c r="B146" s="220"/>
      <c r="C146" s="222"/>
    </row>
    <row r="147">
      <c r="A147" s="220"/>
      <c r="B147" s="220"/>
      <c r="C147" s="222"/>
    </row>
    <row r="148">
      <c r="A148" s="220"/>
      <c r="B148" s="220"/>
      <c r="C148" s="222"/>
    </row>
    <row r="149">
      <c r="A149" s="220"/>
      <c r="B149" s="220"/>
      <c r="C149" s="222"/>
    </row>
    <row r="150">
      <c r="A150" s="220"/>
      <c r="B150" s="220"/>
      <c r="C150" s="222"/>
    </row>
    <row r="151">
      <c r="A151" s="220"/>
      <c r="B151" s="220"/>
      <c r="C151" s="222"/>
    </row>
    <row r="152">
      <c r="A152" s="220"/>
      <c r="B152" s="220"/>
      <c r="C152" s="222"/>
    </row>
    <row r="153">
      <c r="A153" s="220"/>
      <c r="B153" s="220"/>
      <c r="C153" s="222"/>
    </row>
    <row r="154">
      <c r="A154" s="220"/>
      <c r="B154" s="220"/>
      <c r="C154" s="222"/>
    </row>
    <row r="155">
      <c r="A155" s="220"/>
      <c r="B155" s="220"/>
      <c r="C155" s="222"/>
    </row>
    <row r="156">
      <c r="A156" s="220"/>
      <c r="B156" s="220"/>
      <c r="C156" s="222"/>
    </row>
    <row r="157">
      <c r="A157" s="220"/>
      <c r="B157" s="220"/>
      <c r="C157" s="222"/>
    </row>
    <row r="158">
      <c r="A158" s="220"/>
      <c r="B158" s="220"/>
      <c r="C158" s="222"/>
    </row>
    <row r="159">
      <c r="A159" s="220"/>
      <c r="B159" s="220"/>
      <c r="C159" s="222"/>
    </row>
    <row r="160">
      <c r="A160" s="220"/>
      <c r="B160" s="220"/>
      <c r="C160" s="222"/>
    </row>
    <row r="161">
      <c r="A161" s="220"/>
      <c r="B161" s="220"/>
      <c r="C161" s="222"/>
    </row>
    <row r="162">
      <c r="A162" s="220"/>
      <c r="B162" s="220"/>
      <c r="C162" s="222"/>
    </row>
    <row r="163">
      <c r="A163" s="220"/>
      <c r="B163" s="220"/>
      <c r="C163" s="222"/>
    </row>
    <row r="164">
      <c r="A164" s="220"/>
      <c r="B164" s="220"/>
      <c r="C164" s="222"/>
    </row>
    <row r="165">
      <c r="A165" s="220"/>
      <c r="B165" s="220"/>
      <c r="C165" s="222"/>
    </row>
    <row r="166">
      <c r="A166" s="220"/>
      <c r="B166" s="220"/>
      <c r="C166" s="222"/>
    </row>
    <row r="167">
      <c r="A167" s="220"/>
      <c r="B167" s="220"/>
      <c r="C167" s="222"/>
    </row>
    <row r="168">
      <c r="A168" s="220"/>
      <c r="B168" s="220"/>
      <c r="C168" s="222"/>
    </row>
    <row r="169">
      <c r="A169" s="220"/>
      <c r="B169" s="220"/>
      <c r="C169" s="222"/>
    </row>
    <row r="170">
      <c r="A170" s="220"/>
      <c r="B170" s="220"/>
      <c r="C170" s="222"/>
    </row>
    <row r="171">
      <c r="A171" s="220"/>
      <c r="B171" s="220"/>
      <c r="C171" s="222"/>
    </row>
    <row r="172">
      <c r="A172" s="220"/>
      <c r="B172" s="220"/>
      <c r="C172" s="222"/>
    </row>
    <row r="173">
      <c r="A173" s="220"/>
      <c r="B173" s="220"/>
      <c r="C173" s="222"/>
    </row>
    <row r="174">
      <c r="A174" s="220"/>
      <c r="B174" s="220"/>
      <c r="C174" s="222"/>
    </row>
    <row r="175">
      <c r="A175" s="220"/>
      <c r="B175" s="220"/>
      <c r="C175" s="222"/>
    </row>
    <row r="176">
      <c r="A176" s="220"/>
      <c r="B176" s="220"/>
      <c r="C176" s="222"/>
    </row>
    <row r="177">
      <c r="A177" s="220"/>
      <c r="B177" s="220"/>
      <c r="C177" s="222"/>
    </row>
    <row r="178">
      <c r="A178" s="220"/>
      <c r="B178" s="220"/>
      <c r="C178" s="222"/>
    </row>
    <row r="179">
      <c r="A179" s="220"/>
      <c r="B179" s="220"/>
      <c r="C179" s="222"/>
    </row>
    <row r="180">
      <c r="A180" s="220"/>
      <c r="B180" s="220"/>
      <c r="C180" s="222"/>
    </row>
    <row r="181">
      <c r="A181" s="220"/>
      <c r="B181" s="220"/>
      <c r="C181" s="222"/>
    </row>
    <row r="182">
      <c r="A182" s="220"/>
      <c r="B182" s="220"/>
      <c r="C182" s="222"/>
    </row>
    <row r="183">
      <c r="A183" s="220"/>
      <c r="B183" s="220"/>
      <c r="C183" s="222"/>
    </row>
    <row r="184">
      <c r="A184" s="220"/>
      <c r="B184" s="220"/>
      <c r="C184" s="222"/>
    </row>
    <row r="185">
      <c r="A185" s="220"/>
      <c r="B185" s="220"/>
      <c r="C185" s="222"/>
    </row>
    <row r="186">
      <c r="A186" s="220"/>
      <c r="B186" s="220"/>
      <c r="C186" s="222"/>
    </row>
    <row r="187">
      <c r="A187" s="220"/>
      <c r="B187" s="220"/>
      <c r="C187" s="222"/>
    </row>
    <row r="188">
      <c r="A188" s="220"/>
      <c r="B188" s="220"/>
      <c r="C188" s="222"/>
    </row>
    <row r="189">
      <c r="A189" s="220"/>
      <c r="B189" s="220"/>
      <c r="C189" s="222"/>
    </row>
    <row r="190">
      <c r="A190" s="220"/>
      <c r="B190" s="220"/>
      <c r="C190" s="222"/>
    </row>
    <row r="191">
      <c r="A191" s="220"/>
      <c r="B191" s="220"/>
      <c r="C191" s="222"/>
    </row>
    <row r="192">
      <c r="A192" s="220"/>
      <c r="B192" s="220"/>
      <c r="C192" s="222"/>
    </row>
    <row r="193">
      <c r="A193" s="220"/>
      <c r="B193" s="220"/>
      <c r="C193" s="222"/>
    </row>
    <row r="194">
      <c r="A194" s="220"/>
      <c r="B194" s="220"/>
      <c r="C194" s="222"/>
    </row>
    <row r="195">
      <c r="A195" s="220"/>
      <c r="B195" s="220"/>
      <c r="C195" s="222"/>
    </row>
    <row r="196">
      <c r="A196" s="220"/>
      <c r="B196" s="220"/>
      <c r="C196" s="222"/>
    </row>
    <row r="197">
      <c r="A197" s="220"/>
      <c r="B197" s="220"/>
      <c r="C197" s="222"/>
    </row>
    <row r="198">
      <c r="A198" s="220"/>
      <c r="B198" s="220"/>
      <c r="C198" s="222"/>
    </row>
    <row r="199">
      <c r="A199" s="220"/>
      <c r="B199" s="220"/>
      <c r="C199" s="222"/>
    </row>
    <row r="200">
      <c r="A200" s="220"/>
      <c r="B200" s="220"/>
      <c r="C200" s="222"/>
    </row>
    <row r="201">
      <c r="A201" s="220"/>
      <c r="B201" s="220"/>
      <c r="C201" s="222"/>
    </row>
    <row r="202">
      <c r="A202" s="220"/>
      <c r="B202" s="220"/>
      <c r="C202" s="222"/>
    </row>
    <row r="203">
      <c r="A203" s="220"/>
      <c r="B203" s="220"/>
      <c r="C203" s="222"/>
    </row>
    <row r="204">
      <c r="A204" s="220"/>
      <c r="B204" s="220"/>
      <c r="C204" s="222"/>
    </row>
    <row r="205">
      <c r="A205" s="220"/>
      <c r="B205" s="220"/>
      <c r="C205" s="222"/>
    </row>
    <row r="206">
      <c r="A206" s="220"/>
      <c r="B206" s="220"/>
      <c r="C206" s="222"/>
    </row>
    <row r="207">
      <c r="A207" s="220"/>
      <c r="B207" s="220"/>
      <c r="C207" s="222"/>
    </row>
    <row r="208">
      <c r="A208" s="220"/>
      <c r="B208" s="220"/>
      <c r="C208" s="222"/>
    </row>
    <row r="209">
      <c r="A209" s="220"/>
      <c r="B209" s="220"/>
      <c r="C209" s="222"/>
    </row>
    <row r="210">
      <c r="A210" s="220"/>
      <c r="B210" s="220"/>
      <c r="C210" s="222"/>
    </row>
    <row r="211">
      <c r="A211" s="220"/>
      <c r="B211" s="220"/>
      <c r="C211" s="222"/>
    </row>
    <row r="212">
      <c r="A212" s="220"/>
      <c r="B212" s="220"/>
      <c r="C212" s="222"/>
    </row>
    <row r="213">
      <c r="A213" s="220"/>
      <c r="B213" s="220"/>
      <c r="C213" s="222"/>
    </row>
    <row r="214">
      <c r="A214" s="220"/>
      <c r="B214" s="220"/>
      <c r="C214" s="222"/>
    </row>
    <row r="215">
      <c r="A215" s="220"/>
      <c r="B215" s="220"/>
      <c r="C215" s="222"/>
    </row>
    <row r="216">
      <c r="A216" s="220"/>
      <c r="B216" s="220"/>
      <c r="C216" s="222"/>
    </row>
    <row r="217">
      <c r="A217" s="220"/>
      <c r="B217" s="220"/>
      <c r="C217" s="222"/>
    </row>
    <row r="218">
      <c r="A218" s="220"/>
      <c r="B218" s="220"/>
      <c r="C218" s="222"/>
    </row>
    <row r="219">
      <c r="A219" s="220"/>
      <c r="B219" s="220"/>
      <c r="C219" s="222"/>
    </row>
    <row r="220">
      <c r="A220" s="220"/>
      <c r="B220" s="220"/>
      <c r="C220" s="222"/>
    </row>
    <row r="221">
      <c r="A221" s="220"/>
      <c r="B221" s="220"/>
      <c r="C221" s="222"/>
    </row>
    <row r="222">
      <c r="A222" s="220"/>
      <c r="B222" s="220"/>
      <c r="C222" s="222"/>
    </row>
    <row r="223">
      <c r="A223" s="220"/>
      <c r="B223" s="220"/>
      <c r="C223" s="222"/>
    </row>
    <row r="224">
      <c r="A224" s="220"/>
      <c r="B224" s="220"/>
      <c r="C224" s="222"/>
    </row>
    <row r="225">
      <c r="A225" s="220"/>
      <c r="B225" s="220"/>
      <c r="C225" s="222"/>
    </row>
    <row r="226">
      <c r="A226" s="220"/>
      <c r="B226" s="220"/>
      <c r="C226" s="222"/>
    </row>
    <row r="227">
      <c r="A227" s="220"/>
      <c r="B227" s="220"/>
      <c r="C227" s="222"/>
    </row>
    <row r="228">
      <c r="A228" s="220"/>
      <c r="B228" s="220"/>
      <c r="C228" s="222"/>
    </row>
    <row r="229">
      <c r="A229" s="220"/>
      <c r="B229" s="220"/>
      <c r="C229" s="222"/>
    </row>
    <row r="230">
      <c r="A230" s="220"/>
      <c r="B230" s="220"/>
      <c r="C230" s="222"/>
    </row>
    <row r="231">
      <c r="A231" s="220"/>
      <c r="B231" s="220"/>
      <c r="C231" s="222"/>
    </row>
    <row r="232">
      <c r="A232" s="220"/>
      <c r="B232" s="220"/>
      <c r="C232" s="222"/>
    </row>
    <row r="233">
      <c r="A233" s="220"/>
      <c r="B233" s="220"/>
      <c r="C233" s="222"/>
    </row>
    <row r="234">
      <c r="A234" s="220"/>
      <c r="B234" s="220"/>
      <c r="C234" s="222"/>
    </row>
    <row r="235">
      <c r="A235" s="220"/>
      <c r="B235" s="220"/>
      <c r="C235" s="222"/>
    </row>
    <row r="236">
      <c r="A236" s="220"/>
      <c r="B236" s="220"/>
      <c r="C236" s="222"/>
    </row>
    <row r="237">
      <c r="A237" s="220"/>
      <c r="B237" s="220"/>
      <c r="C237" s="222"/>
    </row>
    <row r="238">
      <c r="A238" s="220"/>
      <c r="B238" s="220"/>
      <c r="C238" s="222"/>
    </row>
    <row r="239">
      <c r="A239" s="220"/>
      <c r="B239" s="220"/>
      <c r="C239" s="222"/>
    </row>
    <row r="240">
      <c r="A240" s="220"/>
      <c r="B240" s="220"/>
      <c r="C240" s="222"/>
    </row>
    <row r="241">
      <c r="A241" s="220"/>
      <c r="B241" s="220"/>
      <c r="C241" s="222"/>
    </row>
    <row r="242">
      <c r="A242" s="220"/>
      <c r="B242" s="220"/>
      <c r="C242" s="222"/>
    </row>
    <row r="243">
      <c r="A243" s="220"/>
      <c r="B243" s="220"/>
      <c r="C243" s="222"/>
    </row>
    <row r="244">
      <c r="A244" s="220"/>
      <c r="B244" s="220"/>
      <c r="C244" s="222"/>
    </row>
    <row r="245">
      <c r="A245" s="220"/>
      <c r="B245" s="220"/>
      <c r="C245" s="222"/>
    </row>
    <row r="246">
      <c r="A246" s="220"/>
      <c r="B246" s="220"/>
      <c r="C246" s="222"/>
    </row>
    <row r="247">
      <c r="A247" s="220"/>
      <c r="B247" s="220"/>
      <c r="C247" s="222"/>
    </row>
    <row r="248">
      <c r="A248" s="220"/>
      <c r="B248" s="220"/>
      <c r="C248" s="222"/>
    </row>
    <row r="249">
      <c r="A249" s="220"/>
      <c r="B249" s="220"/>
      <c r="C249" s="222"/>
    </row>
    <row r="250">
      <c r="A250" s="220"/>
      <c r="B250" s="220"/>
      <c r="C250" s="222"/>
    </row>
    <row r="251">
      <c r="A251" s="220"/>
      <c r="B251" s="220"/>
      <c r="C251" s="222"/>
    </row>
    <row r="252">
      <c r="A252" s="220"/>
      <c r="B252" s="220"/>
      <c r="C252" s="222"/>
    </row>
    <row r="253">
      <c r="A253" s="220"/>
      <c r="B253" s="220"/>
      <c r="C253" s="222"/>
    </row>
    <row r="254">
      <c r="A254" s="220"/>
      <c r="B254" s="220"/>
      <c r="C254" s="222"/>
    </row>
    <row r="255">
      <c r="A255" s="220"/>
      <c r="B255" s="220"/>
      <c r="C255" s="222"/>
    </row>
    <row r="256">
      <c r="A256" s="220"/>
      <c r="B256" s="220"/>
      <c r="C256" s="222"/>
    </row>
    <row r="257">
      <c r="A257" s="220"/>
      <c r="B257" s="220"/>
      <c r="C257" s="222"/>
    </row>
    <row r="258">
      <c r="A258" s="220"/>
      <c r="B258" s="220"/>
      <c r="C258" s="222"/>
    </row>
    <row r="259">
      <c r="A259" s="220"/>
      <c r="B259" s="220"/>
      <c r="C259" s="222"/>
    </row>
    <row r="260">
      <c r="A260" s="220"/>
      <c r="B260" s="220"/>
      <c r="C260" s="222"/>
    </row>
    <row r="261">
      <c r="A261" s="220"/>
      <c r="B261" s="220"/>
      <c r="C261" s="222"/>
    </row>
    <row r="262">
      <c r="A262" s="220"/>
      <c r="B262" s="220"/>
      <c r="C262" s="222"/>
    </row>
    <row r="263">
      <c r="A263" s="220"/>
      <c r="B263" s="220"/>
      <c r="C263" s="222"/>
    </row>
    <row r="264">
      <c r="A264" s="220"/>
      <c r="B264" s="220"/>
      <c r="C264" s="222"/>
    </row>
    <row r="265">
      <c r="A265" s="220"/>
      <c r="B265" s="220"/>
      <c r="C265" s="222"/>
    </row>
    <row r="266">
      <c r="A266" s="220"/>
      <c r="B266" s="220"/>
      <c r="C266" s="222"/>
    </row>
    <row r="267">
      <c r="A267" s="220"/>
      <c r="B267" s="220"/>
      <c r="C267" s="222"/>
    </row>
    <row r="268">
      <c r="A268" s="220"/>
      <c r="B268" s="220"/>
      <c r="C268" s="222"/>
    </row>
    <row r="269">
      <c r="A269" s="220"/>
      <c r="B269" s="220"/>
      <c r="C269" s="222"/>
    </row>
    <row r="270">
      <c r="A270" s="220"/>
      <c r="B270" s="220"/>
      <c r="C270" s="222"/>
    </row>
    <row r="271">
      <c r="A271" s="220"/>
      <c r="B271" s="220"/>
      <c r="C271" s="222"/>
    </row>
    <row r="272">
      <c r="A272" s="220"/>
      <c r="B272" s="220"/>
      <c r="C272" s="222"/>
    </row>
    <row r="273">
      <c r="A273" s="220"/>
      <c r="B273" s="220"/>
      <c r="C273" s="222"/>
    </row>
    <row r="274">
      <c r="A274" s="220"/>
      <c r="B274" s="220"/>
      <c r="C274" s="222"/>
    </row>
    <row r="275">
      <c r="A275" s="220"/>
      <c r="B275" s="220"/>
      <c r="C275" s="222"/>
    </row>
    <row r="276">
      <c r="A276" s="220"/>
      <c r="B276" s="220"/>
      <c r="C276" s="222"/>
    </row>
    <row r="277">
      <c r="A277" s="220"/>
      <c r="B277" s="220"/>
      <c r="C277" s="222"/>
    </row>
    <row r="278">
      <c r="A278" s="220"/>
      <c r="B278" s="220"/>
      <c r="C278" s="222"/>
    </row>
    <row r="279">
      <c r="A279" s="220"/>
      <c r="B279" s="220"/>
      <c r="C279" s="222"/>
    </row>
    <row r="280">
      <c r="A280" s="220"/>
      <c r="B280" s="220"/>
      <c r="C280" s="222"/>
    </row>
    <row r="281">
      <c r="A281" s="220"/>
      <c r="B281" s="220"/>
      <c r="C281" s="222"/>
    </row>
    <row r="282">
      <c r="A282" s="220"/>
      <c r="B282" s="220"/>
      <c r="C282" s="222"/>
    </row>
    <row r="283">
      <c r="A283" s="220"/>
      <c r="B283" s="220"/>
      <c r="C283" s="222"/>
    </row>
    <row r="284">
      <c r="A284" s="220"/>
      <c r="B284" s="220"/>
      <c r="C284" s="222"/>
    </row>
    <row r="285">
      <c r="A285" s="220"/>
      <c r="B285" s="220"/>
      <c r="C285" s="222"/>
    </row>
    <row r="286">
      <c r="A286" s="220"/>
      <c r="B286" s="220"/>
      <c r="C286" s="222"/>
    </row>
    <row r="287">
      <c r="A287" s="220"/>
      <c r="B287" s="220"/>
      <c r="C287" s="222"/>
    </row>
    <row r="288">
      <c r="A288" s="220"/>
      <c r="B288" s="220"/>
      <c r="C288" s="222"/>
    </row>
    <row r="289">
      <c r="A289" s="220"/>
      <c r="B289" s="220"/>
      <c r="C289" s="222"/>
    </row>
    <row r="290">
      <c r="A290" s="220"/>
      <c r="B290" s="220"/>
      <c r="C290" s="222"/>
    </row>
    <row r="291">
      <c r="A291" s="220"/>
      <c r="B291" s="220"/>
      <c r="C291" s="222"/>
    </row>
    <row r="292">
      <c r="A292" s="220"/>
      <c r="B292" s="220"/>
      <c r="C292" s="222"/>
    </row>
    <row r="293">
      <c r="A293" s="220"/>
      <c r="B293" s="220"/>
      <c r="C293" s="222"/>
    </row>
    <row r="294">
      <c r="A294" s="220"/>
      <c r="B294" s="220"/>
      <c r="C294" s="222"/>
    </row>
    <row r="295">
      <c r="A295" s="220"/>
      <c r="B295" s="220"/>
      <c r="C295" s="222"/>
    </row>
    <row r="296">
      <c r="A296" s="220"/>
      <c r="B296" s="220"/>
      <c r="C296" s="222"/>
    </row>
    <row r="297">
      <c r="A297" s="220"/>
      <c r="B297" s="220"/>
      <c r="C297" s="222"/>
    </row>
    <row r="298">
      <c r="A298" s="220"/>
      <c r="B298" s="220"/>
      <c r="C298" s="222"/>
    </row>
    <row r="299">
      <c r="A299" s="220"/>
      <c r="B299" s="220"/>
      <c r="C299" s="222"/>
    </row>
    <row r="300">
      <c r="A300" s="220"/>
      <c r="B300" s="220"/>
      <c r="C300" s="222"/>
    </row>
    <row r="301">
      <c r="A301" s="220"/>
      <c r="B301" s="220"/>
      <c r="C301" s="222"/>
    </row>
    <row r="302">
      <c r="A302" s="220"/>
      <c r="B302" s="220"/>
      <c r="C302" s="222"/>
    </row>
    <row r="303">
      <c r="A303" s="220"/>
      <c r="B303" s="220"/>
      <c r="C303" s="222"/>
    </row>
    <row r="304">
      <c r="A304" s="220"/>
      <c r="B304" s="220"/>
      <c r="C304" s="222"/>
    </row>
    <row r="305">
      <c r="A305" s="220"/>
      <c r="B305" s="220"/>
      <c r="C305" s="222"/>
    </row>
    <row r="306">
      <c r="A306" s="220"/>
      <c r="B306" s="220"/>
      <c r="C306" s="222"/>
    </row>
    <row r="307">
      <c r="A307" s="220"/>
      <c r="B307" s="220"/>
      <c r="C307" s="222"/>
    </row>
    <row r="308">
      <c r="A308" s="220"/>
      <c r="B308" s="220"/>
      <c r="C308" s="222"/>
    </row>
    <row r="309">
      <c r="A309" s="220"/>
      <c r="B309" s="220"/>
      <c r="C309" s="222"/>
    </row>
    <row r="310">
      <c r="A310" s="220"/>
      <c r="B310" s="220"/>
      <c r="C310" s="222"/>
    </row>
    <row r="311">
      <c r="A311" s="220"/>
      <c r="B311" s="220"/>
      <c r="C311" s="222"/>
    </row>
    <row r="312">
      <c r="A312" s="220"/>
      <c r="B312" s="220"/>
      <c r="C312" s="222"/>
    </row>
    <row r="313">
      <c r="A313" s="220"/>
      <c r="B313" s="220"/>
      <c r="C313" s="222"/>
    </row>
    <row r="314">
      <c r="A314" s="220"/>
      <c r="B314" s="220"/>
      <c r="C314" s="222"/>
    </row>
    <row r="315">
      <c r="A315" s="220"/>
      <c r="B315" s="220"/>
      <c r="C315" s="222"/>
    </row>
    <row r="316">
      <c r="A316" s="220"/>
      <c r="B316" s="220"/>
      <c r="C316" s="222"/>
    </row>
    <row r="317">
      <c r="A317" s="220"/>
      <c r="B317" s="220"/>
      <c r="C317" s="222"/>
    </row>
    <row r="318">
      <c r="A318" s="220"/>
      <c r="B318" s="220"/>
      <c r="C318" s="222"/>
    </row>
    <row r="319">
      <c r="A319" s="220"/>
      <c r="B319" s="220"/>
      <c r="C319" s="222"/>
    </row>
    <row r="320">
      <c r="A320" s="220"/>
      <c r="B320" s="220"/>
      <c r="C320" s="222"/>
    </row>
    <row r="321">
      <c r="A321" s="220"/>
      <c r="B321" s="220"/>
      <c r="C321" s="222"/>
    </row>
    <row r="322">
      <c r="A322" s="220"/>
      <c r="B322" s="220"/>
      <c r="C322" s="222"/>
    </row>
    <row r="323">
      <c r="A323" s="220"/>
      <c r="B323" s="220"/>
      <c r="C323" s="222"/>
    </row>
    <row r="324">
      <c r="A324" s="220"/>
      <c r="B324" s="220"/>
      <c r="C324" s="222"/>
    </row>
    <row r="325">
      <c r="A325" s="220"/>
      <c r="B325" s="220"/>
      <c r="C325" s="222"/>
    </row>
    <row r="326">
      <c r="A326" s="220"/>
      <c r="B326" s="220"/>
      <c r="C326" s="222"/>
    </row>
    <row r="327">
      <c r="A327" s="220"/>
      <c r="B327" s="220"/>
      <c r="C327" s="222"/>
    </row>
    <row r="328">
      <c r="A328" s="220"/>
      <c r="B328" s="220"/>
      <c r="C328" s="222"/>
    </row>
    <row r="329">
      <c r="A329" s="220"/>
      <c r="B329" s="220"/>
      <c r="C329" s="222"/>
    </row>
    <row r="330">
      <c r="A330" s="220"/>
      <c r="B330" s="220"/>
      <c r="C330" s="222"/>
    </row>
    <row r="331">
      <c r="A331" s="220"/>
      <c r="B331" s="220"/>
      <c r="C331" s="222"/>
    </row>
    <row r="332">
      <c r="A332" s="220"/>
      <c r="B332" s="220"/>
      <c r="C332" s="222"/>
    </row>
    <row r="333">
      <c r="A333" s="220"/>
      <c r="B333" s="220"/>
      <c r="C333" s="222"/>
    </row>
    <row r="334">
      <c r="A334" s="220"/>
      <c r="B334" s="220"/>
      <c r="C334" s="222"/>
    </row>
    <row r="335">
      <c r="A335" s="220"/>
      <c r="B335" s="220"/>
      <c r="C335" s="222"/>
    </row>
    <row r="336">
      <c r="A336" s="220"/>
      <c r="B336" s="220"/>
      <c r="C336" s="222"/>
    </row>
    <row r="337">
      <c r="A337" s="220"/>
      <c r="B337" s="220"/>
      <c r="C337" s="222"/>
    </row>
    <row r="338">
      <c r="A338" s="220"/>
      <c r="B338" s="220"/>
      <c r="C338" s="222"/>
    </row>
    <row r="339">
      <c r="A339" s="220"/>
      <c r="B339" s="220"/>
      <c r="C339" s="222"/>
    </row>
    <row r="340">
      <c r="A340" s="220"/>
      <c r="B340" s="220"/>
      <c r="C340" s="222"/>
    </row>
    <row r="341">
      <c r="A341" s="220"/>
      <c r="B341" s="220"/>
      <c r="C341" s="222"/>
    </row>
    <row r="342">
      <c r="A342" s="220"/>
      <c r="B342" s="220"/>
      <c r="C342" s="222"/>
    </row>
    <row r="343">
      <c r="A343" s="220"/>
      <c r="B343" s="220"/>
      <c r="C343" s="222"/>
    </row>
    <row r="344">
      <c r="A344" s="220"/>
      <c r="B344" s="220"/>
      <c r="C344" s="222"/>
    </row>
    <row r="345">
      <c r="A345" s="220"/>
      <c r="B345" s="220"/>
      <c r="C345" s="222"/>
    </row>
    <row r="346">
      <c r="A346" s="220"/>
      <c r="B346" s="220"/>
      <c r="C346" s="222"/>
    </row>
    <row r="347">
      <c r="A347" s="220"/>
      <c r="B347" s="220"/>
      <c r="C347" s="222"/>
    </row>
    <row r="348">
      <c r="A348" s="220"/>
      <c r="B348" s="220"/>
      <c r="C348" s="222"/>
    </row>
    <row r="349">
      <c r="A349" s="220"/>
      <c r="B349" s="220"/>
      <c r="C349" s="222"/>
    </row>
    <row r="350">
      <c r="A350" s="220"/>
      <c r="B350" s="220"/>
      <c r="C350" s="222"/>
    </row>
    <row r="351">
      <c r="A351" s="220"/>
      <c r="B351" s="220"/>
      <c r="C351" s="222"/>
    </row>
    <row r="352">
      <c r="A352" s="220"/>
      <c r="B352" s="220"/>
      <c r="C352" s="222"/>
    </row>
    <row r="353">
      <c r="A353" s="220"/>
      <c r="B353" s="220"/>
      <c r="C353" s="222"/>
    </row>
    <row r="354">
      <c r="A354" s="220"/>
      <c r="B354" s="220"/>
      <c r="C354" s="222"/>
    </row>
    <row r="355">
      <c r="A355" s="220"/>
      <c r="B355" s="220"/>
      <c r="C355" s="222"/>
    </row>
    <row r="356">
      <c r="A356" s="220"/>
      <c r="B356" s="220"/>
      <c r="C356" s="222"/>
    </row>
    <row r="357">
      <c r="A357" s="220"/>
      <c r="B357" s="220"/>
      <c r="C357" s="222"/>
    </row>
    <row r="358">
      <c r="A358" s="220"/>
      <c r="B358" s="220"/>
      <c r="C358" s="222"/>
    </row>
    <row r="359">
      <c r="A359" s="220"/>
      <c r="B359" s="220"/>
      <c r="C359" s="222"/>
    </row>
    <row r="360">
      <c r="A360" s="220"/>
      <c r="B360" s="220"/>
      <c r="C360" s="222"/>
    </row>
    <row r="361">
      <c r="A361" s="220"/>
      <c r="B361" s="220"/>
      <c r="C361" s="222"/>
    </row>
    <row r="362">
      <c r="A362" s="220"/>
      <c r="B362" s="220"/>
      <c r="C362" s="222"/>
    </row>
    <row r="363">
      <c r="A363" s="220"/>
      <c r="B363" s="220"/>
      <c r="C363" s="222"/>
    </row>
    <row r="364">
      <c r="A364" s="220"/>
      <c r="B364" s="220"/>
      <c r="C364" s="222"/>
    </row>
    <row r="365">
      <c r="A365" s="220"/>
      <c r="B365" s="220"/>
      <c r="C365" s="222"/>
    </row>
    <row r="366">
      <c r="A366" s="220"/>
      <c r="B366" s="220"/>
      <c r="C366" s="222"/>
    </row>
    <row r="367">
      <c r="A367" s="220"/>
      <c r="B367" s="220"/>
      <c r="C367" s="222"/>
    </row>
    <row r="368">
      <c r="A368" s="220"/>
      <c r="B368" s="220"/>
      <c r="C368" s="222"/>
    </row>
    <row r="369">
      <c r="A369" s="220"/>
      <c r="B369" s="220"/>
      <c r="C369" s="222"/>
    </row>
    <row r="370">
      <c r="A370" s="220"/>
      <c r="B370" s="220"/>
      <c r="C370" s="222"/>
    </row>
    <row r="371">
      <c r="A371" s="220"/>
      <c r="B371" s="220"/>
      <c r="C371" s="222"/>
    </row>
    <row r="372">
      <c r="A372" s="220"/>
      <c r="B372" s="220"/>
      <c r="C372" s="222"/>
    </row>
    <row r="373">
      <c r="A373" s="220"/>
      <c r="B373" s="220"/>
      <c r="C373" s="222"/>
    </row>
    <row r="374">
      <c r="A374" s="220"/>
      <c r="B374" s="220"/>
      <c r="C374" s="222"/>
    </row>
    <row r="375">
      <c r="A375" s="220"/>
      <c r="B375" s="220"/>
      <c r="C375" s="222"/>
    </row>
    <row r="376">
      <c r="A376" s="220"/>
      <c r="B376" s="220"/>
      <c r="C376" s="222"/>
    </row>
    <row r="377">
      <c r="A377" s="220"/>
      <c r="B377" s="220"/>
      <c r="C377" s="222"/>
    </row>
    <row r="378">
      <c r="A378" s="220"/>
      <c r="B378" s="220"/>
      <c r="C378" s="222"/>
    </row>
    <row r="379">
      <c r="A379" s="220"/>
      <c r="B379" s="220"/>
      <c r="C379" s="222"/>
    </row>
    <row r="380">
      <c r="A380" s="220"/>
      <c r="B380" s="220"/>
      <c r="C380" s="222"/>
    </row>
    <row r="381">
      <c r="A381" s="220"/>
      <c r="B381" s="220"/>
      <c r="C381" s="222"/>
    </row>
    <row r="382">
      <c r="A382" s="220"/>
      <c r="B382" s="220"/>
      <c r="C382" s="222"/>
    </row>
    <row r="383">
      <c r="A383" s="220"/>
      <c r="B383" s="220"/>
      <c r="C383" s="222"/>
    </row>
    <row r="384">
      <c r="A384" s="220"/>
      <c r="B384" s="220"/>
      <c r="C384" s="222"/>
    </row>
    <row r="385">
      <c r="A385" s="220"/>
      <c r="B385" s="220"/>
      <c r="C385" s="222"/>
    </row>
    <row r="386">
      <c r="A386" s="220"/>
      <c r="B386" s="220"/>
      <c r="C386" s="222"/>
    </row>
    <row r="387">
      <c r="A387" s="220"/>
      <c r="B387" s="220"/>
      <c r="C387" s="222"/>
    </row>
    <row r="388">
      <c r="A388" s="220"/>
      <c r="B388" s="220"/>
      <c r="C388" s="222"/>
    </row>
    <row r="389">
      <c r="A389" s="220"/>
      <c r="B389" s="220"/>
      <c r="C389" s="222"/>
    </row>
    <row r="390">
      <c r="A390" s="220"/>
      <c r="B390" s="220"/>
      <c r="C390" s="222"/>
    </row>
    <row r="391">
      <c r="A391" s="220"/>
      <c r="B391" s="220"/>
      <c r="C391" s="222"/>
    </row>
    <row r="392">
      <c r="A392" s="220"/>
      <c r="B392" s="220"/>
      <c r="C392" s="222"/>
    </row>
    <row r="393">
      <c r="A393" s="220"/>
      <c r="B393" s="220"/>
      <c r="C393" s="222"/>
    </row>
    <row r="394">
      <c r="A394" s="220"/>
      <c r="B394" s="220"/>
      <c r="C394" s="222"/>
    </row>
    <row r="395">
      <c r="A395" s="220"/>
      <c r="B395" s="220"/>
      <c r="C395" s="222"/>
    </row>
    <row r="396">
      <c r="A396" s="220"/>
      <c r="B396" s="220"/>
      <c r="C396" s="222"/>
    </row>
    <row r="397">
      <c r="A397" s="220"/>
      <c r="B397" s="220"/>
      <c r="C397" s="222"/>
    </row>
    <row r="398">
      <c r="A398" s="220"/>
      <c r="B398" s="220"/>
      <c r="C398" s="222"/>
    </row>
    <row r="399">
      <c r="A399" s="220"/>
      <c r="B399" s="220"/>
      <c r="C399" s="222"/>
    </row>
    <row r="400">
      <c r="A400" s="220"/>
      <c r="B400" s="220"/>
      <c r="C400" s="222"/>
    </row>
    <row r="401">
      <c r="A401" s="220"/>
      <c r="B401" s="220"/>
      <c r="C401" s="222"/>
    </row>
    <row r="402">
      <c r="A402" s="220"/>
      <c r="B402" s="220"/>
      <c r="C402" s="222"/>
    </row>
    <row r="403">
      <c r="A403" s="220"/>
      <c r="B403" s="220"/>
      <c r="C403" s="222"/>
    </row>
    <row r="404">
      <c r="A404" s="220"/>
      <c r="B404" s="220"/>
      <c r="C404" s="222"/>
    </row>
    <row r="405">
      <c r="A405" s="220"/>
      <c r="B405" s="220"/>
      <c r="C405" s="222"/>
    </row>
    <row r="406">
      <c r="A406" s="220"/>
      <c r="B406" s="220"/>
      <c r="C406" s="222"/>
    </row>
    <row r="407">
      <c r="A407" s="220"/>
      <c r="B407" s="220"/>
      <c r="C407" s="222"/>
    </row>
    <row r="408">
      <c r="A408" s="220"/>
      <c r="B408" s="220"/>
      <c r="C408" s="222"/>
    </row>
    <row r="409">
      <c r="A409" s="220"/>
      <c r="B409" s="220"/>
      <c r="C409" s="222"/>
    </row>
    <row r="410">
      <c r="A410" s="220"/>
      <c r="B410" s="220"/>
      <c r="C410" s="222"/>
    </row>
    <row r="411">
      <c r="A411" s="220"/>
      <c r="B411" s="220"/>
      <c r="C411" s="222"/>
    </row>
    <row r="412">
      <c r="A412" s="220"/>
      <c r="B412" s="220"/>
      <c r="C412" s="222"/>
    </row>
    <row r="413">
      <c r="A413" s="220"/>
      <c r="B413" s="220"/>
      <c r="C413" s="222"/>
    </row>
    <row r="414">
      <c r="A414" s="220"/>
      <c r="B414" s="220"/>
      <c r="C414" s="222"/>
    </row>
    <row r="415">
      <c r="A415" s="220"/>
      <c r="B415" s="220"/>
      <c r="C415" s="222"/>
    </row>
    <row r="416">
      <c r="A416" s="220"/>
      <c r="B416" s="220"/>
      <c r="C416" s="222"/>
    </row>
    <row r="417">
      <c r="A417" s="220"/>
      <c r="B417" s="220"/>
      <c r="C417" s="222"/>
    </row>
    <row r="418">
      <c r="A418" s="220"/>
      <c r="B418" s="220"/>
      <c r="C418" s="222"/>
    </row>
    <row r="419">
      <c r="A419" s="220"/>
      <c r="B419" s="220"/>
      <c r="C419" s="222"/>
    </row>
    <row r="420">
      <c r="A420" s="220"/>
      <c r="B420" s="220"/>
      <c r="C420" s="222"/>
    </row>
    <row r="421">
      <c r="A421" s="220"/>
      <c r="B421" s="220"/>
      <c r="C421" s="222"/>
    </row>
    <row r="422">
      <c r="A422" s="220"/>
      <c r="B422" s="220"/>
      <c r="C422" s="222"/>
    </row>
    <row r="423">
      <c r="A423" s="220"/>
      <c r="B423" s="220"/>
      <c r="C423" s="222"/>
    </row>
    <row r="424">
      <c r="A424" s="220"/>
      <c r="B424" s="220"/>
      <c r="C424" s="222"/>
    </row>
    <row r="425">
      <c r="A425" s="220"/>
      <c r="B425" s="220"/>
      <c r="C425" s="222"/>
    </row>
    <row r="426">
      <c r="A426" s="220"/>
      <c r="B426" s="220"/>
      <c r="C426" s="222"/>
    </row>
    <row r="427">
      <c r="A427" s="220"/>
      <c r="B427" s="220"/>
      <c r="C427" s="222"/>
    </row>
    <row r="428">
      <c r="A428" s="220"/>
      <c r="B428" s="220"/>
      <c r="C428" s="222"/>
    </row>
    <row r="429">
      <c r="A429" s="220"/>
      <c r="B429" s="220"/>
      <c r="C429" s="222"/>
    </row>
    <row r="430">
      <c r="A430" s="220"/>
      <c r="B430" s="220"/>
      <c r="C430" s="222"/>
    </row>
    <row r="431">
      <c r="A431" s="220"/>
      <c r="B431" s="220"/>
      <c r="C431" s="222"/>
    </row>
    <row r="432">
      <c r="A432" s="220"/>
      <c r="B432" s="220"/>
      <c r="C432" s="222"/>
    </row>
    <row r="433">
      <c r="A433" s="220"/>
      <c r="B433" s="220"/>
      <c r="C433" s="222"/>
    </row>
    <row r="434">
      <c r="A434" s="220"/>
      <c r="B434" s="220"/>
      <c r="C434" s="222"/>
    </row>
    <row r="435">
      <c r="A435" s="220"/>
      <c r="B435" s="220"/>
      <c r="C435" s="222"/>
    </row>
    <row r="436">
      <c r="A436" s="220"/>
      <c r="B436" s="220"/>
      <c r="C436" s="222"/>
    </row>
    <row r="437">
      <c r="A437" s="220"/>
      <c r="B437" s="220"/>
      <c r="C437" s="222"/>
    </row>
    <row r="438">
      <c r="A438" s="220"/>
      <c r="B438" s="220"/>
      <c r="C438" s="222"/>
    </row>
    <row r="439">
      <c r="A439" s="220"/>
      <c r="B439" s="220"/>
      <c r="C439" s="222"/>
    </row>
    <row r="440">
      <c r="A440" s="220"/>
      <c r="B440" s="220"/>
      <c r="C440" s="222"/>
    </row>
    <row r="441">
      <c r="A441" s="220"/>
      <c r="B441" s="220"/>
      <c r="C441" s="222"/>
    </row>
    <row r="442">
      <c r="A442" s="220"/>
      <c r="B442" s="220"/>
      <c r="C442" s="222"/>
    </row>
    <row r="443">
      <c r="A443" s="220"/>
      <c r="B443" s="220"/>
      <c r="C443" s="222"/>
    </row>
    <row r="444">
      <c r="A444" s="220"/>
      <c r="B444" s="220"/>
      <c r="C444" s="222"/>
    </row>
    <row r="445">
      <c r="A445" s="220"/>
      <c r="B445" s="220"/>
      <c r="C445" s="222"/>
    </row>
    <row r="446">
      <c r="A446" s="220"/>
      <c r="B446" s="220"/>
      <c r="C446" s="222"/>
    </row>
    <row r="447">
      <c r="A447" s="220"/>
      <c r="B447" s="220"/>
      <c r="C447" s="222"/>
    </row>
    <row r="448">
      <c r="A448" s="220"/>
      <c r="B448" s="220"/>
      <c r="C448" s="222"/>
    </row>
    <row r="449">
      <c r="A449" s="220"/>
      <c r="B449" s="220"/>
      <c r="C449" s="222"/>
    </row>
    <row r="450">
      <c r="A450" s="220"/>
      <c r="B450" s="220"/>
      <c r="C450" s="222"/>
    </row>
    <row r="451">
      <c r="A451" s="220"/>
      <c r="B451" s="220"/>
      <c r="C451" s="222"/>
    </row>
    <row r="452">
      <c r="A452" s="220"/>
      <c r="B452" s="220"/>
      <c r="C452" s="222"/>
    </row>
    <row r="453">
      <c r="A453" s="220"/>
      <c r="B453" s="220"/>
      <c r="C453" s="222"/>
    </row>
    <row r="454">
      <c r="A454" s="220"/>
      <c r="B454" s="220"/>
      <c r="C454" s="222"/>
    </row>
    <row r="455">
      <c r="A455" s="220"/>
      <c r="B455" s="220"/>
      <c r="C455" s="222"/>
    </row>
    <row r="456">
      <c r="A456" s="220"/>
      <c r="B456" s="220"/>
      <c r="C456" s="222"/>
    </row>
    <row r="457">
      <c r="A457" s="220"/>
      <c r="B457" s="220"/>
      <c r="C457" s="222"/>
    </row>
    <row r="458">
      <c r="A458" s="220"/>
      <c r="B458" s="220"/>
      <c r="C458" s="222"/>
    </row>
    <row r="459">
      <c r="A459" s="220"/>
      <c r="B459" s="220"/>
      <c r="C459" s="222"/>
    </row>
    <row r="460">
      <c r="A460" s="220"/>
      <c r="B460" s="220"/>
      <c r="C460" s="222"/>
    </row>
    <row r="461">
      <c r="A461" s="220"/>
      <c r="B461" s="220"/>
      <c r="C461" s="222"/>
    </row>
    <row r="462">
      <c r="A462" s="220"/>
      <c r="B462" s="220"/>
      <c r="C462" s="222"/>
    </row>
    <row r="463">
      <c r="A463" s="220"/>
      <c r="B463" s="220"/>
      <c r="C463" s="222"/>
    </row>
    <row r="464">
      <c r="A464" s="220"/>
      <c r="B464" s="220"/>
      <c r="C464" s="222"/>
    </row>
    <row r="465">
      <c r="A465" s="220"/>
      <c r="B465" s="220"/>
      <c r="C465" s="222"/>
    </row>
    <row r="466">
      <c r="A466" s="220"/>
      <c r="B466" s="220"/>
      <c r="C466" s="222"/>
    </row>
    <row r="467">
      <c r="A467" s="220"/>
      <c r="B467" s="220"/>
      <c r="C467" s="222"/>
    </row>
    <row r="468">
      <c r="A468" s="220"/>
      <c r="B468" s="220"/>
      <c r="C468" s="222"/>
    </row>
    <row r="469">
      <c r="A469" s="220"/>
      <c r="B469" s="220"/>
      <c r="C469" s="222"/>
    </row>
    <row r="470">
      <c r="A470" s="220"/>
      <c r="B470" s="220"/>
      <c r="C470" s="222"/>
    </row>
    <row r="471">
      <c r="A471" s="220"/>
      <c r="B471" s="220"/>
      <c r="C471" s="222"/>
    </row>
    <row r="472">
      <c r="A472" s="220"/>
      <c r="B472" s="220"/>
      <c r="C472" s="222"/>
    </row>
    <row r="473">
      <c r="A473" s="220"/>
      <c r="B473" s="220"/>
      <c r="C473" s="222"/>
    </row>
    <row r="474">
      <c r="A474" s="220"/>
      <c r="B474" s="220"/>
      <c r="C474" s="222"/>
    </row>
    <row r="475">
      <c r="A475" s="220"/>
      <c r="B475" s="220"/>
      <c r="C475" s="222"/>
    </row>
    <row r="476">
      <c r="A476" s="220"/>
      <c r="B476" s="220"/>
      <c r="C476" s="222"/>
    </row>
    <row r="477">
      <c r="A477" s="220"/>
      <c r="B477" s="220"/>
      <c r="C477" s="222"/>
    </row>
    <row r="478">
      <c r="A478" s="220"/>
      <c r="B478" s="220"/>
      <c r="C478" s="222"/>
    </row>
    <row r="479">
      <c r="A479" s="220"/>
      <c r="B479" s="220"/>
      <c r="C479" s="222"/>
    </row>
    <row r="480">
      <c r="A480" s="220"/>
      <c r="B480" s="220"/>
      <c r="C480" s="222"/>
    </row>
    <row r="481">
      <c r="A481" s="220"/>
      <c r="B481" s="220"/>
      <c r="C481" s="222"/>
    </row>
    <row r="482">
      <c r="A482" s="220"/>
      <c r="B482" s="220"/>
      <c r="C482" s="222"/>
    </row>
    <row r="483">
      <c r="A483" s="220"/>
      <c r="B483" s="220"/>
      <c r="C483" s="222"/>
    </row>
    <row r="484">
      <c r="A484" s="220"/>
      <c r="B484" s="220"/>
      <c r="C484" s="222"/>
    </row>
    <row r="485">
      <c r="A485" s="220"/>
      <c r="B485" s="220"/>
      <c r="C485" s="222"/>
    </row>
    <row r="486">
      <c r="A486" s="220"/>
      <c r="B486" s="220"/>
      <c r="C486" s="222"/>
    </row>
    <row r="487">
      <c r="A487" s="220"/>
      <c r="B487" s="220"/>
      <c r="C487" s="222"/>
    </row>
    <row r="488">
      <c r="A488" s="220"/>
      <c r="B488" s="220"/>
      <c r="C488" s="222"/>
    </row>
    <row r="489">
      <c r="A489" s="220"/>
      <c r="B489" s="220"/>
      <c r="C489" s="222"/>
    </row>
    <row r="490">
      <c r="A490" s="220"/>
      <c r="B490" s="220"/>
      <c r="C490" s="222"/>
    </row>
    <row r="491">
      <c r="A491" s="220"/>
      <c r="B491" s="220"/>
      <c r="C491" s="222"/>
    </row>
    <row r="492">
      <c r="A492" s="220"/>
      <c r="B492" s="220"/>
      <c r="C492" s="222"/>
    </row>
    <row r="493">
      <c r="A493" s="220"/>
      <c r="B493" s="220"/>
      <c r="C493" s="222"/>
    </row>
    <row r="494">
      <c r="A494" s="220"/>
      <c r="B494" s="220"/>
      <c r="C494" s="222"/>
    </row>
    <row r="495">
      <c r="A495" s="220"/>
      <c r="B495" s="220"/>
      <c r="C495" s="222"/>
    </row>
    <row r="496">
      <c r="A496" s="220"/>
      <c r="B496" s="220"/>
      <c r="C496" s="222"/>
    </row>
    <row r="497">
      <c r="A497" s="220"/>
      <c r="B497" s="220"/>
      <c r="C497" s="222"/>
    </row>
    <row r="498">
      <c r="A498" s="220"/>
      <c r="B498" s="220"/>
      <c r="C498" s="222"/>
    </row>
    <row r="499">
      <c r="A499" s="220"/>
      <c r="B499" s="220"/>
      <c r="C499" s="222"/>
    </row>
    <row r="500">
      <c r="A500" s="220"/>
      <c r="B500" s="220"/>
      <c r="C500" s="222"/>
    </row>
    <row r="501">
      <c r="A501" s="220"/>
      <c r="B501" s="220"/>
      <c r="C501" s="222"/>
    </row>
    <row r="502">
      <c r="A502" s="220"/>
      <c r="B502" s="220"/>
      <c r="C502" s="222"/>
    </row>
    <row r="503">
      <c r="A503" s="220"/>
      <c r="B503" s="220"/>
      <c r="C503" s="222"/>
    </row>
    <row r="504">
      <c r="A504" s="220"/>
      <c r="B504" s="220"/>
      <c r="C504" s="222"/>
    </row>
    <row r="505">
      <c r="A505" s="220"/>
      <c r="B505" s="220"/>
      <c r="C505" s="222"/>
    </row>
    <row r="506">
      <c r="A506" s="220"/>
      <c r="B506" s="220"/>
      <c r="C506" s="222"/>
    </row>
    <row r="507">
      <c r="A507" s="220"/>
      <c r="B507" s="220"/>
      <c r="C507" s="222"/>
    </row>
    <row r="508">
      <c r="A508" s="220"/>
      <c r="B508" s="220"/>
      <c r="C508" s="222"/>
    </row>
    <row r="509">
      <c r="A509" s="220"/>
      <c r="B509" s="220"/>
      <c r="C509" s="222"/>
    </row>
    <row r="510">
      <c r="A510" s="220"/>
      <c r="B510" s="220"/>
      <c r="C510" s="222"/>
    </row>
    <row r="511">
      <c r="A511" s="220"/>
      <c r="B511" s="220"/>
      <c r="C511" s="222"/>
    </row>
    <row r="512">
      <c r="A512" s="220"/>
      <c r="B512" s="220"/>
      <c r="C512" s="222"/>
    </row>
    <row r="513">
      <c r="A513" s="220"/>
      <c r="B513" s="220"/>
      <c r="C513" s="222"/>
    </row>
    <row r="514">
      <c r="A514" s="220"/>
      <c r="B514" s="220"/>
      <c r="C514" s="222"/>
    </row>
    <row r="515">
      <c r="A515" s="220"/>
      <c r="B515" s="220"/>
      <c r="C515" s="222"/>
    </row>
    <row r="516">
      <c r="A516" s="220"/>
      <c r="B516" s="220"/>
      <c r="C516" s="222"/>
    </row>
    <row r="517">
      <c r="A517" s="220"/>
      <c r="B517" s="220"/>
      <c r="C517" s="222"/>
    </row>
    <row r="518">
      <c r="A518" s="220"/>
      <c r="B518" s="220"/>
      <c r="C518" s="222"/>
    </row>
    <row r="519">
      <c r="A519" s="220"/>
      <c r="B519" s="220"/>
      <c r="C519" s="222"/>
    </row>
    <row r="520">
      <c r="A520" s="220"/>
      <c r="B520" s="220"/>
      <c r="C520" s="222"/>
    </row>
    <row r="521">
      <c r="A521" s="220"/>
      <c r="B521" s="220"/>
      <c r="C521" s="222"/>
    </row>
    <row r="522">
      <c r="A522" s="220"/>
      <c r="B522" s="220"/>
      <c r="C522" s="222"/>
    </row>
    <row r="523">
      <c r="A523" s="220"/>
      <c r="B523" s="220"/>
      <c r="C523" s="222"/>
    </row>
    <row r="524">
      <c r="A524" s="220"/>
      <c r="B524" s="220"/>
      <c r="C524" s="222"/>
    </row>
    <row r="525">
      <c r="A525" s="220"/>
      <c r="B525" s="220"/>
      <c r="C525" s="222"/>
    </row>
    <row r="526">
      <c r="A526" s="220"/>
      <c r="B526" s="220"/>
      <c r="C526" s="222"/>
    </row>
    <row r="527">
      <c r="A527" s="220"/>
      <c r="B527" s="220"/>
      <c r="C527" s="222"/>
    </row>
    <row r="528">
      <c r="A528" s="220"/>
      <c r="B528" s="220"/>
      <c r="C528" s="222"/>
    </row>
    <row r="529">
      <c r="A529" s="220"/>
      <c r="B529" s="220"/>
      <c r="C529" s="222"/>
    </row>
    <row r="530">
      <c r="A530" s="220"/>
      <c r="B530" s="220"/>
      <c r="C530" s="222"/>
    </row>
    <row r="531">
      <c r="A531" s="220"/>
      <c r="B531" s="220"/>
      <c r="C531" s="222"/>
    </row>
    <row r="532">
      <c r="A532" s="220"/>
      <c r="B532" s="220"/>
      <c r="C532" s="222"/>
    </row>
    <row r="533">
      <c r="A533" s="220"/>
      <c r="B533" s="220"/>
      <c r="C533" s="222"/>
    </row>
    <row r="534">
      <c r="A534" s="220"/>
      <c r="B534" s="220"/>
      <c r="C534" s="222"/>
    </row>
    <row r="535">
      <c r="A535" s="220"/>
      <c r="B535" s="220"/>
      <c r="C535" s="222"/>
    </row>
    <row r="536">
      <c r="A536" s="220"/>
      <c r="B536" s="220"/>
      <c r="C536" s="222"/>
    </row>
    <row r="537">
      <c r="A537" s="220"/>
      <c r="B537" s="220"/>
      <c r="C537" s="222"/>
    </row>
    <row r="538">
      <c r="A538" s="220"/>
      <c r="B538" s="220"/>
      <c r="C538" s="222"/>
    </row>
    <row r="539">
      <c r="A539" s="220"/>
      <c r="B539" s="220"/>
      <c r="C539" s="222"/>
    </row>
    <row r="540">
      <c r="A540" s="220"/>
      <c r="B540" s="220"/>
      <c r="C540" s="222"/>
    </row>
    <row r="541">
      <c r="A541" s="220"/>
      <c r="B541" s="220"/>
      <c r="C541" s="222"/>
    </row>
    <row r="542">
      <c r="A542" s="220"/>
      <c r="B542" s="220"/>
      <c r="C542" s="222"/>
    </row>
    <row r="543">
      <c r="A543" s="220"/>
      <c r="B543" s="220"/>
      <c r="C543" s="222"/>
    </row>
    <row r="544">
      <c r="A544" s="220"/>
      <c r="B544" s="220"/>
      <c r="C544" s="222"/>
    </row>
    <row r="545">
      <c r="A545" s="220"/>
      <c r="B545" s="220"/>
      <c r="C545" s="222"/>
    </row>
    <row r="546">
      <c r="A546" s="220"/>
      <c r="B546" s="220"/>
      <c r="C546" s="222"/>
    </row>
    <row r="547">
      <c r="A547" s="220"/>
      <c r="B547" s="220"/>
      <c r="C547" s="222"/>
    </row>
    <row r="548">
      <c r="A548" s="220"/>
      <c r="B548" s="220"/>
      <c r="C548" s="222"/>
    </row>
    <row r="549">
      <c r="A549" s="220"/>
      <c r="B549" s="220"/>
      <c r="C549" s="222"/>
    </row>
    <row r="550">
      <c r="A550" s="220"/>
      <c r="B550" s="220"/>
      <c r="C550" s="222"/>
    </row>
    <row r="551">
      <c r="A551" s="220"/>
      <c r="B551" s="220"/>
      <c r="C551" s="222"/>
    </row>
    <row r="552">
      <c r="A552" s="220"/>
      <c r="B552" s="220"/>
      <c r="C552" s="222"/>
    </row>
    <row r="553">
      <c r="A553" s="220"/>
      <c r="B553" s="220"/>
      <c r="C553" s="222"/>
    </row>
    <row r="554">
      <c r="A554" s="220"/>
      <c r="B554" s="220"/>
      <c r="C554" s="222"/>
    </row>
    <row r="555">
      <c r="A555" s="220"/>
      <c r="B555" s="220"/>
      <c r="C555" s="222"/>
    </row>
    <row r="556">
      <c r="A556" s="220"/>
      <c r="B556" s="220"/>
      <c r="C556" s="222"/>
    </row>
    <row r="557">
      <c r="A557" s="220"/>
      <c r="B557" s="220"/>
      <c r="C557" s="222"/>
    </row>
    <row r="558">
      <c r="A558" s="220"/>
      <c r="B558" s="220"/>
      <c r="C558" s="222"/>
    </row>
    <row r="559">
      <c r="A559" s="220"/>
      <c r="B559" s="220"/>
      <c r="C559" s="222"/>
    </row>
    <row r="560">
      <c r="A560" s="220"/>
      <c r="B560" s="220"/>
      <c r="C560" s="222"/>
    </row>
    <row r="561">
      <c r="A561" s="220"/>
      <c r="B561" s="220"/>
      <c r="C561" s="222"/>
    </row>
    <row r="562">
      <c r="A562" s="220"/>
      <c r="B562" s="220"/>
      <c r="C562" s="222"/>
    </row>
    <row r="563">
      <c r="A563" s="220"/>
      <c r="B563" s="220"/>
      <c r="C563" s="222"/>
    </row>
    <row r="564">
      <c r="A564" s="220"/>
      <c r="B564" s="220"/>
      <c r="C564" s="222"/>
    </row>
    <row r="565">
      <c r="A565" s="220"/>
      <c r="B565" s="220"/>
      <c r="C565" s="222"/>
    </row>
    <row r="566">
      <c r="A566" s="220"/>
      <c r="B566" s="220"/>
      <c r="C566" s="222"/>
    </row>
    <row r="567">
      <c r="A567" s="220"/>
      <c r="B567" s="220"/>
      <c r="C567" s="222"/>
    </row>
    <row r="568">
      <c r="A568" s="220"/>
      <c r="B568" s="220"/>
      <c r="C568" s="222"/>
    </row>
    <row r="569">
      <c r="A569" s="220"/>
      <c r="B569" s="220"/>
      <c r="C569" s="222"/>
    </row>
    <row r="570">
      <c r="A570" s="220"/>
      <c r="B570" s="220"/>
      <c r="C570" s="222"/>
    </row>
    <row r="571">
      <c r="A571" s="220"/>
      <c r="B571" s="220"/>
      <c r="C571" s="222"/>
    </row>
    <row r="572">
      <c r="A572" s="220"/>
      <c r="B572" s="220"/>
      <c r="C572" s="222"/>
    </row>
    <row r="573">
      <c r="A573" s="220"/>
      <c r="B573" s="220"/>
      <c r="C573" s="222"/>
    </row>
    <row r="574">
      <c r="A574" s="220"/>
      <c r="B574" s="220"/>
      <c r="C574" s="222"/>
    </row>
    <row r="575">
      <c r="A575" s="220"/>
      <c r="B575" s="220"/>
      <c r="C575" s="222"/>
    </row>
    <row r="576">
      <c r="A576" s="220"/>
      <c r="B576" s="220"/>
      <c r="C576" s="222"/>
    </row>
    <row r="577">
      <c r="A577" s="220"/>
      <c r="B577" s="220"/>
      <c r="C577" s="222"/>
    </row>
    <row r="578">
      <c r="A578" s="220"/>
      <c r="B578" s="220"/>
      <c r="C578" s="222"/>
    </row>
    <row r="579">
      <c r="A579" s="220"/>
      <c r="B579" s="220"/>
      <c r="C579" s="222"/>
    </row>
    <row r="580">
      <c r="A580" s="220"/>
      <c r="B580" s="220"/>
      <c r="C580" s="222"/>
    </row>
    <row r="581">
      <c r="A581" s="220"/>
      <c r="B581" s="220"/>
      <c r="C581" s="222"/>
    </row>
    <row r="582">
      <c r="A582" s="220"/>
      <c r="B582" s="220"/>
      <c r="C582" s="222"/>
    </row>
    <row r="583">
      <c r="A583" s="220"/>
      <c r="B583" s="220"/>
      <c r="C583" s="222"/>
    </row>
    <row r="584">
      <c r="A584" s="220"/>
      <c r="B584" s="220"/>
      <c r="C584" s="222"/>
    </row>
    <row r="585">
      <c r="A585" s="220"/>
      <c r="B585" s="220"/>
      <c r="C585" s="222"/>
    </row>
    <row r="586">
      <c r="A586" s="220"/>
      <c r="B586" s="220"/>
      <c r="C586" s="222"/>
    </row>
    <row r="587">
      <c r="A587" s="220"/>
      <c r="B587" s="220"/>
      <c r="C587" s="222"/>
    </row>
    <row r="588">
      <c r="A588" s="220"/>
      <c r="B588" s="220"/>
      <c r="C588" s="222"/>
    </row>
    <row r="589">
      <c r="A589" s="220"/>
      <c r="B589" s="220"/>
      <c r="C589" s="222"/>
    </row>
    <row r="590">
      <c r="A590" s="220"/>
      <c r="B590" s="220"/>
      <c r="C590" s="222"/>
    </row>
    <row r="591">
      <c r="A591" s="220"/>
      <c r="B591" s="220"/>
      <c r="C591" s="222"/>
    </row>
    <row r="592">
      <c r="A592" s="220"/>
      <c r="B592" s="220"/>
      <c r="C592" s="222"/>
    </row>
    <row r="593">
      <c r="A593" s="220"/>
      <c r="B593" s="220"/>
      <c r="C593" s="222"/>
    </row>
    <row r="594">
      <c r="A594" s="220"/>
      <c r="B594" s="220"/>
      <c r="C594" s="222"/>
    </row>
    <row r="595">
      <c r="A595" s="220"/>
      <c r="B595" s="220"/>
      <c r="C595" s="222"/>
    </row>
    <row r="596">
      <c r="A596" s="220"/>
      <c r="B596" s="220"/>
      <c r="C596" s="222"/>
    </row>
    <row r="597">
      <c r="A597" s="220"/>
      <c r="B597" s="220"/>
      <c r="C597" s="222"/>
    </row>
    <row r="598">
      <c r="A598" s="220"/>
      <c r="B598" s="220"/>
      <c r="C598" s="222"/>
    </row>
    <row r="599">
      <c r="A599" s="220"/>
      <c r="B599" s="220"/>
      <c r="C599" s="222"/>
    </row>
    <row r="600">
      <c r="A600" s="220"/>
      <c r="B600" s="220"/>
      <c r="C600" s="222"/>
    </row>
    <row r="601">
      <c r="A601" s="220"/>
      <c r="B601" s="220"/>
      <c r="C601" s="222"/>
    </row>
    <row r="602">
      <c r="A602" s="220"/>
      <c r="B602" s="220"/>
      <c r="C602" s="222"/>
    </row>
    <row r="603">
      <c r="A603" s="220"/>
      <c r="B603" s="220"/>
      <c r="C603" s="222"/>
    </row>
    <row r="604">
      <c r="A604" s="220"/>
      <c r="B604" s="220"/>
      <c r="C604" s="222"/>
    </row>
    <row r="605">
      <c r="A605" s="220"/>
      <c r="B605" s="220"/>
      <c r="C605" s="222"/>
    </row>
    <row r="606">
      <c r="A606" s="220"/>
      <c r="B606" s="220"/>
      <c r="C606" s="222"/>
    </row>
    <row r="607">
      <c r="A607" s="220"/>
      <c r="B607" s="220"/>
      <c r="C607" s="222"/>
    </row>
    <row r="608">
      <c r="A608" s="220"/>
      <c r="B608" s="220"/>
      <c r="C608" s="222"/>
    </row>
    <row r="609">
      <c r="A609" s="220"/>
      <c r="B609" s="220"/>
      <c r="C609" s="222"/>
    </row>
    <row r="610">
      <c r="A610" s="220"/>
      <c r="B610" s="220"/>
      <c r="C610" s="222"/>
    </row>
    <row r="611">
      <c r="A611" s="220"/>
      <c r="B611" s="220"/>
      <c r="C611" s="222"/>
    </row>
    <row r="612">
      <c r="A612" s="220"/>
      <c r="B612" s="220"/>
      <c r="C612" s="222"/>
    </row>
    <row r="613">
      <c r="A613" s="220"/>
      <c r="B613" s="220"/>
      <c r="C613" s="222"/>
    </row>
    <row r="614">
      <c r="A614" s="220"/>
      <c r="B614" s="220"/>
      <c r="C614" s="222"/>
    </row>
    <row r="615">
      <c r="A615" s="220"/>
      <c r="B615" s="220"/>
      <c r="C615" s="222"/>
    </row>
    <row r="616">
      <c r="A616" s="220"/>
      <c r="B616" s="220"/>
      <c r="C616" s="222"/>
    </row>
    <row r="617">
      <c r="A617" s="220"/>
      <c r="B617" s="220"/>
      <c r="C617" s="222"/>
    </row>
    <row r="618">
      <c r="A618" s="220"/>
      <c r="B618" s="220"/>
      <c r="C618" s="222"/>
    </row>
    <row r="619">
      <c r="A619" s="220"/>
      <c r="B619" s="220"/>
      <c r="C619" s="222"/>
    </row>
    <row r="620">
      <c r="A620" s="220"/>
      <c r="B620" s="220"/>
      <c r="C620" s="222"/>
    </row>
    <row r="621">
      <c r="A621" s="220"/>
      <c r="B621" s="220"/>
      <c r="C621" s="222"/>
    </row>
    <row r="622">
      <c r="A622" s="220"/>
      <c r="B622" s="220"/>
      <c r="C622" s="222"/>
    </row>
    <row r="623">
      <c r="A623" s="220"/>
      <c r="B623" s="220"/>
      <c r="C623" s="222"/>
    </row>
    <row r="624">
      <c r="A624" s="220"/>
      <c r="B624" s="220"/>
      <c r="C624" s="222"/>
    </row>
    <row r="625">
      <c r="A625" s="220"/>
      <c r="B625" s="220"/>
      <c r="C625" s="222"/>
    </row>
    <row r="626">
      <c r="A626" s="220"/>
      <c r="B626" s="220"/>
      <c r="C626" s="222"/>
    </row>
    <row r="627">
      <c r="A627" s="220"/>
      <c r="B627" s="220"/>
      <c r="C627" s="222"/>
    </row>
    <row r="628">
      <c r="A628" s="220"/>
      <c r="B628" s="220"/>
      <c r="C628" s="222"/>
    </row>
    <row r="629">
      <c r="A629" s="220"/>
      <c r="B629" s="220"/>
      <c r="C629" s="222"/>
    </row>
    <row r="630">
      <c r="A630" s="220"/>
      <c r="B630" s="220"/>
      <c r="C630" s="222"/>
    </row>
    <row r="631">
      <c r="A631" s="220"/>
      <c r="B631" s="220"/>
      <c r="C631" s="222"/>
    </row>
    <row r="632">
      <c r="A632" s="220"/>
      <c r="B632" s="220"/>
      <c r="C632" s="222"/>
    </row>
    <row r="633">
      <c r="A633" s="220"/>
      <c r="B633" s="220"/>
      <c r="C633" s="222"/>
    </row>
    <row r="634">
      <c r="A634" s="220"/>
      <c r="B634" s="220"/>
      <c r="C634" s="222"/>
    </row>
    <row r="635">
      <c r="A635" s="220"/>
      <c r="B635" s="220"/>
      <c r="C635" s="222"/>
    </row>
    <row r="636">
      <c r="A636" s="220"/>
      <c r="B636" s="220"/>
      <c r="C636" s="222"/>
    </row>
    <row r="637">
      <c r="A637" s="220"/>
      <c r="B637" s="220"/>
      <c r="C637" s="222"/>
    </row>
    <row r="638">
      <c r="A638" s="220"/>
      <c r="B638" s="220"/>
      <c r="C638" s="222"/>
    </row>
    <row r="639">
      <c r="A639" s="220"/>
      <c r="B639" s="220"/>
      <c r="C639" s="222"/>
    </row>
    <row r="640">
      <c r="A640" s="220"/>
      <c r="B640" s="220"/>
      <c r="C640" s="222"/>
    </row>
    <row r="641">
      <c r="A641" s="220"/>
      <c r="B641" s="220"/>
      <c r="C641" s="222"/>
    </row>
    <row r="642">
      <c r="A642" s="220"/>
      <c r="B642" s="220"/>
      <c r="C642" s="222"/>
    </row>
    <row r="643">
      <c r="A643" s="220"/>
      <c r="B643" s="220"/>
      <c r="C643" s="222"/>
    </row>
    <row r="644">
      <c r="A644" s="220"/>
      <c r="B644" s="220"/>
      <c r="C644" s="222"/>
    </row>
    <row r="645">
      <c r="A645" s="220"/>
      <c r="B645" s="220"/>
      <c r="C645" s="222"/>
    </row>
    <row r="646">
      <c r="A646" s="220"/>
      <c r="B646" s="220"/>
      <c r="C646" s="222"/>
    </row>
    <row r="647">
      <c r="A647" s="220"/>
      <c r="B647" s="220"/>
      <c r="C647" s="222"/>
    </row>
    <row r="648">
      <c r="A648" s="220"/>
      <c r="B648" s="220"/>
      <c r="C648" s="222"/>
    </row>
    <row r="649">
      <c r="A649" s="220"/>
      <c r="B649" s="220"/>
      <c r="C649" s="222"/>
    </row>
    <row r="650">
      <c r="A650" s="220"/>
      <c r="B650" s="220"/>
      <c r="C650" s="222"/>
    </row>
    <row r="651">
      <c r="A651" s="220"/>
      <c r="B651" s="220"/>
      <c r="C651" s="222"/>
    </row>
    <row r="652">
      <c r="A652" s="220"/>
      <c r="B652" s="220"/>
      <c r="C652" s="222"/>
    </row>
    <row r="653">
      <c r="A653" s="220"/>
      <c r="B653" s="220"/>
      <c r="C653" s="222"/>
    </row>
    <row r="654">
      <c r="A654" s="220"/>
      <c r="B654" s="220"/>
      <c r="C654" s="222"/>
    </row>
    <row r="655">
      <c r="A655" s="220"/>
      <c r="B655" s="220"/>
      <c r="C655" s="222"/>
    </row>
    <row r="656">
      <c r="A656" s="220"/>
      <c r="B656" s="220"/>
      <c r="C656" s="222"/>
    </row>
    <row r="657">
      <c r="A657" s="220"/>
      <c r="B657" s="220"/>
      <c r="C657" s="222"/>
    </row>
    <row r="658">
      <c r="A658" s="220"/>
      <c r="B658" s="220"/>
      <c r="C658" s="222"/>
    </row>
    <row r="659">
      <c r="A659" s="220"/>
      <c r="B659" s="220"/>
      <c r="C659" s="222"/>
    </row>
    <row r="660">
      <c r="A660" s="220"/>
      <c r="B660" s="220"/>
      <c r="C660" s="222"/>
    </row>
    <row r="661">
      <c r="A661" s="220"/>
      <c r="B661" s="220"/>
      <c r="C661" s="222"/>
    </row>
    <row r="662">
      <c r="A662" s="220"/>
      <c r="B662" s="220"/>
      <c r="C662" s="222"/>
    </row>
    <row r="663">
      <c r="A663" s="220"/>
      <c r="B663" s="220"/>
      <c r="C663" s="222"/>
    </row>
    <row r="664">
      <c r="A664" s="220"/>
      <c r="B664" s="220"/>
      <c r="C664" s="222"/>
    </row>
    <row r="665">
      <c r="A665" s="220"/>
      <c r="B665" s="220"/>
      <c r="C665" s="222"/>
    </row>
    <row r="666">
      <c r="A666" s="220"/>
      <c r="B666" s="220"/>
      <c r="C666" s="222"/>
    </row>
    <row r="667">
      <c r="A667" s="220"/>
      <c r="B667" s="220"/>
      <c r="C667" s="222"/>
    </row>
    <row r="668">
      <c r="A668" s="220"/>
      <c r="B668" s="220"/>
      <c r="C668" s="222"/>
    </row>
    <row r="669">
      <c r="A669" s="220"/>
      <c r="B669" s="220"/>
      <c r="C669" s="222"/>
    </row>
    <row r="670">
      <c r="A670" s="220"/>
      <c r="B670" s="220"/>
      <c r="C670" s="222"/>
    </row>
    <row r="671">
      <c r="A671" s="220"/>
      <c r="B671" s="220"/>
      <c r="C671" s="222"/>
    </row>
    <row r="672">
      <c r="A672" s="220"/>
      <c r="B672" s="220"/>
      <c r="C672" s="222"/>
    </row>
    <row r="673">
      <c r="A673" s="220"/>
      <c r="B673" s="220"/>
      <c r="C673" s="222"/>
    </row>
    <row r="674">
      <c r="A674" s="220"/>
      <c r="B674" s="220"/>
      <c r="C674" s="222"/>
    </row>
    <row r="675">
      <c r="A675" s="220"/>
      <c r="B675" s="220"/>
      <c r="C675" s="222"/>
    </row>
    <row r="676">
      <c r="A676" s="220"/>
      <c r="B676" s="220"/>
      <c r="C676" s="222"/>
    </row>
    <row r="677">
      <c r="A677" s="220"/>
      <c r="B677" s="220"/>
      <c r="C677" s="222"/>
    </row>
    <row r="678">
      <c r="A678" s="220"/>
      <c r="B678" s="220"/>
      <c r="C678" s="222"/>
    </row>
    <row r="679">
      <c r="A679" s="220"/>
      <c r="B679" s="220"/>
      <c r="C679" s="222"/>
    </row>
    <row r="680">
      <c r="A680" s="220"/>
      <c r="B680" s="220"/>
      <c r="C680" s="222"/>
    </row>
    <row r="681">
      <c r="A681" s="220"/>
      <c r="B681" s="220"/>
      <c r="C681" s="222"/>
    </row>
    <row r="682">
      <c r="A682" s="220"/>
      <c r="B682" s="220"/>
      <c r="C682" s="222"/>
    </row>
    <row r="683">
      <c r="A683" s="220"/>
      <c r="B683" s="220"/>
      <c r="C683" s="222"/>
    </row>
    <row r="684">
      <c r="A684" s="220"/>
      <c r="B684" s="220"/>
      <c r="C684" s="222"/>
    </row>
    <row r="685">
      <c r="A685" s="220"/>
      <c r="B685" s="220"/>
      <c r="C685" s="222"/>
    </row>
    <row r="686">
      <c r="A686" s="220"/>
      <c r="B686" s="220"/>
      <c r="C686" s="222"/>
    </row>
    <row r="687">
      <c r="A687" s="220"/>
      <c r="B687" s="220"/>
      <c r="C687" s="222"/>
    </row>
    <row r="688">
      <c r="A688" s="220"/>
      <c r="B688" s="220"/>
      <c r="C688" s="222"/>
    </row>
    <row r="689">
      <c r="A689" s="220"/>
      <c r="B689" s="220"/>
      <c r="C689" s="222"/>
    </row>
    <row r="690">
      <c r="A690" s="220"/>
      <c r="B690" s="220"/>
      <c r="C690" s="222"/>
    </row>
    <row r="691">
      <c r="A691" s="220"/>
      <c r="B691" s="220"/>
      <c r="C691" s="222"/>
    </row>
    <row r="692">
      <c r="A692" s="220"/>
      <c r="B692" s="220"/>
      <c r="C692" s="222"/>
    </row>
    <row r="693">
      <c r="A693" s="220"/>
      <c r="B693" s="220"/>
      <c r="C693" s="222"/>
    </row>
    <row r="694">
      <c r="A694" s="220"/>
      <c r="B694" s="220"/>
      <c r="C694" s="222"/>
    </row>
    <row r="695">
      <c r="A695" s="220"/>
      <c r="B695" s="220"/>
      <c r="C695" s="222"/>
    </row>
    <row r="696">
      <c r="A696" s="220"/>
      <c r="B696" s="220"/>
      <c r="C696" s="222"/>
    </row>
    <row r="697">
      <c r="A697" s="220"/>
      <c r="B697" s="220"/>
      <c r="C697" s="222"/>
    </row>
    <row r="698">
      <c r="A698" s="220"/>
      <c r="B698" s="220"/>
      <c r="C698" s="222"/>
    </row>
    <row r="699">
      <c r="A699" s="220"/>
      <c r="B699" s="220"/>
      <c r="C699" s="222"/>
    </row>
    <row r="700">
      <c r="A700" s="220"/>
      <c r="B700" s="220"/>
      <c r="C700" s="222"/>
    </row>
    <row r="701">
      <c r="A701" s="220"/>
      <c r="B701" s="220"/>
      <c r="C701" s="222"/>
    </row>
    <row r="702">
      <c r="A702" s="220"/>
      <c r="B702" s="220"/>
      <c r="C702" s="222"/>
    </row>
    <row r="703">
      <c r="A703" s="220"/>
      <c r="B703" s="220"/>
      <c r="C703" s="222"/>
    </row>
    <row r="704">
      <c r="A704" s="220"/>
      <c r="B704" s="220"/>
      <c r="C704" s="222"/>
    </row>
    <row r="705">
      <c r="A705" s="220"/>
      <c r="B705" s="220"/>
      <c r="C705" s="222"/>
    </row>
    <row r="706">
      <c r="A706" s="220"/>
      <c r="B706" s="220"/>
      <c r="C706" s="222"/>
    </row>
    <row r="707">
      <c r="A707" s="220"/>
      <c r="B707" s="220"/>
      <c r="C707" s="222"/>
    </row>
    <row r="708">
      <c r="A708" s="220"/>
      <c r="B708" s="220"/>
      <c r="C708" s="222"/>
    </row>
    <row r="709">
      <c r="A709" s="220"/>
      <c r="B709" s="220"/>
      <c r="C709" s="222"/>
    </row>
    <row r="710">
      <c r="A710" s="220"/>
      <c r="B710" s="220"/>
      <c r="C710" s="222"/>
    </row>
    <row r="711">
      <c r="A711" s="220"/>
      <c r="B711" s="220"/>
      <c r="C711" s="222"/>
    </row>
    <row r="712">
      <c r="A712" s="220"/>
      <c r="B712" s="220"/>
      <c r="C712" s="222"/>
    </row>
    <row r="713">
      <c r="A713" s="220"/>
      <c r="B713" s="220"/>
      <c r="C713" s="222"/>
    </row>
    <row r="714">
      <c r="A714" s="220"/>
      <c r="B714" s="220"/>
      <c r="C714" s="222"/>
    </row>
    <row r="715">
      <c r="A715" s="220"/>
      <c r="B715" s="220"/>
      <c r="C715" s="222"/>
    </row>
    <row r="716">
      <c r="A716" s="220"/>
      <c r="B716" s="220"/>
      <c r="C716" s="222"/>
    </row>
    <row r="717">
      <c r="A717" s="220"/>
      <c r="B717" s="220"/>
      <c r="C717" s="222"/>
    </row>
    <row r="718">
      <c r="A718" s="220"/>
      <c r="B718" s="220"/>
      <c r="C718" s="222"/>
    </row>
    <row r="719">
      <c r="A719" s="220"/>
      <c r="B719" s="220"/>
      <c r="C719" s="222"/>
    </row>
    <row r="720">
      <c r="A720" s="220"/>
      <c r="B720" s="220"/>
      <c r="C720" s="222"/>
    </row>
    <row r="721">
      <c r="A721" s="220"/>
      <c r="B721" s="220"/>
      <c r="C721" s="222"/>
    </row>
    <row r="722">
      <c r="A722" s="220"/>
      <c r="B722" s="220"/>
      <c r="C722" s="222"/>
    </row>
    <row r="723">
      <c r="A723" s="220"/>
      <c r="B723" s="220"/>
      <c r="C723" s="222"/>
    </row>
    <row r="724">
      <c r="A724" s="220"/>
      <c r="B724" s="220"/>
      <c r="C724" s="222"/>
    </row>
    <row r="725">
      <c r="A725" s="220"/>
      <c r="B725" s="220"/>
      <c r="C725" s="222"/>
    </row>
    <row r="726">
      <c r="A726" s="220"/>
      <c r="B726" s="220"/>
      <c r="C726" s="222"/>
    </row>
    <row r="727">
      <c r="A727" s="220"/>
      <c r="B727" s="220"/>
      <c r="C727" s="222"/>
    </row>
    <row r="728">
      <c r="A728" s="220"/>
      <c r="B728" s="220"/>
      <c r="C728" s="222"/>
    </row>
    <row r="729">
      <c r="A729" s="220"/>
      <c r="B729" s="220"/>
      <c r="C729" s="222"/>
    </row>
    <row r="730">
      <c r="A730" s="220"/>
      <c r="B730" s="220"/>
      <c r="C730" s="222"/>
    </row>
    <row r="731">
      <c r="A731" s="220"/>
      <c r="B731" s="220"/>
      <c r="C731" s="222"/>
    </row>
    <row r="732">
      <c r="A732" s="220"/>
      <c r="B732" s="220"/>
      <c r="C732" s="222"/>
    </row>
    <row r="733">
      <c r="A733" s="220"/>
      <c r="B733" s="220"/>
      <c r="C733" s="222"/>
    </row>
    <row r="734">
      <c r="A734" s="220"/>
      <c r="B734" s="220"/>
      <c r="C734" s="222"/>
    </row>
    <row r="735">
      <c r="A735" s="220"/>
      <c r="B735" s="220"/>
      <c r="C735" s="222"/>
    </row>
    <row r="736">
      <c r="A736" s="220"/>
      <c r="B736" s="220"/>
      <c r="C736" s="222"/>
    </row>
    <row r="737">
      <c r="A737" s="220"/>
      <c r="B737" s="220"/>
      <c r="C737" s="222"/>
    </row>
    <row r="738">
      <c r="A738" s="220"/>
      <c r="B738" s="220"/>
      <c r="C738" s="222"/>
    </row>
    <row r="739">
      <c r="A739" s="220"/>
      <c r="B739" s="220"/>
      <c r="C739" s="222"/>
    </row>
    <row r="740">
      <c r="A740" s="220"/>
      <c r="B740" s="220"/>
      <c r="C740" s="222"/>
    </row>
    <row r="741">
      <c r="A741" s="220"/>
      <c r="B741" s="220"/>
      <c r="C741" s="222"/>
    </row>
    <row r="742">
      <c r="A742" s="220"/>
      <c r="B742" s="220"/>
      <c r="C742" s="222"/>
    </row>
    <row r="743">
      <c r="A743" s="220"/>
      <c r="B743" s="220"/>
      <c r="C743" s="222"/>
    </row>
    <row r="744">
      <c r="A744" s="220"/>
      <c r="B744" s="220"/>
      <c r="C744" s="222"/>
    </row>
    <row r="745">
      <c r="A745" s="220"/>
      <c r="B745" s="220"/>
      <c r="C745" s="222"/>
    </row>
    <row r="746">
      <c r="A746" s="220"/>
      <c r="B746" s="220"/>
      <c r="C746" s="222"/>
    </row>
    <row r="747">
      <c r="A747" s="220"/>
      <c r="B747" s="220"/>
      <c r="C747" s="222"/>
    </row>
    <row r="748">
      <c r="A748" s="220"/>
      <c r="B748" s="220"/>
      <c r="C748" s="222"/>
    </row>
    <row r="749">
      <c r="A749" s="220"/>
      <c r="B749" s="220"/>
      <c r="C749" s="222"/>
    </row>
    <row r="750">
      <c r="A750" s="220"/>
      <c r="B750" s="220"/>
      <c r="C750" s="222"/>
    </row>
    <row r="751">
      <c r="A751" s="220"/>
      <c r="B751" s="220"/>
      <c r="C751" s="222"/>
    </row>
    <row r="752">
      <c r="A752" s="220"/>
      <c r="B752" s="220"/>
      <c r="C752" s="222"/>
    </row>
    <row r="753">
      <c r="A753" s="220"/>
      <c r="B753" s="220"/>
      <c r="C753" s="222"/>
    </row>
    <row r="754">
      <c r="A754" s="220"/>
      <c r="B754" s="220"/>
      <c r="C754" s="222"/>
    </row>
    <row r="755">
      <c r="A755" s="220"/>
      <c r="B755" s="220"/>
      <c r="C755" s="222"/>
    </row>
    <row r="756">
      <c r="A756" s="220"/>
      <c r="B756" s="220"/>
      <c r="C756" s="222"/>
    </row>
    <row r="757">
      <c r="A757" s="220"/>
      <c r="B757" s="220"/>
      <c r="C757" s="222"/>
    </row>
    <row r="758">
      <c r="A758" s="220"/>
      <c r="B758" s="220"/>
      <c r="C758" s="222"/>
    </row>
    <row r="759">
      <c r="A759" s="220"/>
      <c r="B759" s="220"/>
      <c r="C759" s="222"/>
    </row>
    <row r="760">
      <c r="A760" s="220"/>
      <c r="B760" s="220"/>
      <c r="C760" s="222"/>
    </row>
    <row r="761">
      <c r="A761" s="220"/>
      <c r="B761" s="220"/>
      <c r="C761" s="222"/>
    </row>
    <row r="762">
      <c r="A762" s="220"/>
      <c r="B762" s="220"/>
      <c r="C762" s="222"/>
    </row>
    <row r="763">
      <c r="A763" s="220"/>
      <c r="B763" s="220"/>
      <c r="C763" s="222"/>
    </row>
    <row r="764">
      <c r="A764" s="220"/>
      <c r="B764" s="220"/>
      <c r="C764" s="222"/>
    </row>
    <row r="765">
      <c r="A765" s="220"/>
      <c r="B765" s="220"/>
      <c r="C765" s="222"/>
    </row>
    <row r="766">
      <c r="A766" s="220"/>
      <c r="B766" s="220"/>
      <c r="C766" s="222"/>
    </row>
    <row r="767">
      <c r="A767" s="220"/>
      <c r="B767" s="220"/>
      <c r="C767" s="222"/>
    </row>
    <row r="768">
      <c r="A768" s="220"/>
      <c r="B768" s="220"/>
      <c r="C768" s="222"/>
    </row>
    <row r="769">
      <c r="A769" s="220"/>
      <c r="B769" s="220"/>
      <c r="C769" s="222"/>
    </row>
    <row r="770">
      <c r="A770" s="220"/>
      <c r="B770" s="220"/>
      <c r="C770" s="222"/>
    </row>
    <row r="771">
      <c r="A771" s="220"/>
      <c r="B771" s="220"/>
      <c r="C771" s="222"/>
    </row>
    <row r="772">
      <c r="A772" s="220"/>
      <c r="B772" s="220"/>
      <c r="C772" s="222"/>
    </row>
    <row r="773">
      <c r="A773" s="220"/>
      <c r="B773" s="220"/>
      <c r="C773" s="222"/>
    </row>
    <row r="774">
      <c r="A774" s="220"/>
      <c r="B774" s="220"/>
      <c r="C774" s="222"/>
    </row>
    <row r="775">
      <c r="A775" s="220"/>
      <c r="B775" s="220"/>
      <c r="C775" s="222"/>
    </row>
    <row r="776">
      <c r="A776" s="220"/>
      <c r="B776" s="220"/>
      <c r="C776" s="222"/>
    </row>
    <row r="777">
      <c r="A777" s="220"/>
      <c r="B777" s="220"/>
      <c r="C777" s="222"/>
    </row>
    <row r="778">
      <c r="A778" s="220"/>
      <c r="B778" s="220"/>
      <c r="C778" s="222"/>
    </row>
    <row r="779">
      <c r="A779" s="220"/>
      <c r="B779" s="220"/>
      <c r="C779" s="222"/>
    </row>
    <row r="780">
      <c r="A780" s="220"/>
      <c r="B780" s="220"/>
      <c r="C780" s="222"/>
    </row>
    <row r="781">
      <c r="A781" s="220"/>
      <c r="B781" s="220"/>
      <c r="C781" s="222"/>
    </row>
    <row r="782">
      <c r="A782" s="220"/>
      <c r="B782" s="220"/>
      <c r="C782" s="222"/>
    </row>
    <row r="783">
      <c r="A783" s="220"/>
      <c r="B783" s="220"/>
      <c r="C783" s="222"/>
    </row>
    <row r="784">
      <c r="A784" s="220"/>
      <c r="B784" s="220"/>
      <c r="C784" s="222"/>
    </row>
    <row r="785">
      <c r="A785" s="220"/>
      <c r="B785" s="220"/>
      <c r="C785" s="222"/>
    </row>
    <row r="786">
      <c r="A786" s="220"/>
      <c r="B786" s="220"/>
      <c r="C786" s="222"/>
    </row>
    <row r="787">
      <c r="A787" s="220"/>
      <c r="B787" s="220"/>
      <c r="C787" s="222"/>
    </row>
    <row r="788">
      <c r="A788" s="220"/>
      <c r="B788" s="220"/>
      <c r="C788" s="222"/>
    </row>
    <row r="789">
      <c r="A789" s="220"/>
      <c r="B789" s="220"/>
      <c r="C789" s="222"/>
    </row>
    <row r="790">
      <c r="A790" s="220"/>
      <c r="B790" s="220"/>
      <c r="C790" s="222"/>
    </row>
    <row r="791">
      <c r="A791" s="220"/>
      <c r="B791" s="220"/>
      <c r="C791" s="222"/>
    </row>
    <row r="792">
      <c r="A792" s="220"/>
      <c r="B792" s="220"/>
      <c r="C792" s="222"/>
    </row>
    <row r="793">
      <c r="A793" s="220"/>
      <c r="B793" s="220"/>
      <c r="C793" s="222"/>
    </row>
    <row r="794">
      <c r="A794" s="220"/>
      <c r="B794" s="220"/>
      <c r="C794" s="222"/>
    </row>
    <row r="795">
      <c r="A795" s="220"/>
      <c r="B795" s="220"/>
      <c r="C795" s="222"/>
    </row>
    <row r="796">
      <c r="A796" s="220"/>
      <c r="B796" s="220"/>
      <c r="C796" s="222"/>
    </row>
    <row r="797">
      <c r="A797" s="220"/>
      <c r="B797" s="220"/>
      <c r="C797" s="222"/>
    </row>
    <row r="798">
      <c r="A798" s="220"/>
      <c r="B798" s="220"/>
      <c r="C798" s="222"/>
    </row>
    <row r="799">
      <c r="A799" s="220"/>
      <c r="B799" s="220"/>
      <c r="C799" s="222"/>
    </row>
    <row r="800">
      <c r="A800" s="220"/>
      <c r="B800" s="220"/>
      <c r="C800" s="222"/>
    </row>
    <row r="801">
      <c r="A801" s="220"/>
      <c r="B801" s="220"/>
      <c r="C801" s="222"/>
    </row>
    <row r="802">
      <c r="A802" s="220"/>
      <c r="B802" s="220"/>
      <c r="C802" s="222"/>
    </row>
    <row r="803">
      <c r="A803" s="220"/>
      <c r="B803" s="220"/>
      <c r="C803" s="222"/>
    </row>
    <row r="804">
      <c r="A804" s="220"/>
      <c r="B804" s="220"/>
      <c r="C804" s="222"/>
    </row>
    <row r="805">
      <c r="A805" s="220"/>
      <c r="B805" s="220"/>
      <c r="C805" s="222"/>
    </row>
    <row r="806">
      <c r="A806" s="220"/>
      <c r="B806" s="220"/>
      <c r="C806" s="222"/>
    </row>
    <row r="807">
      <c r="A807" s="220"/>
      <c r="B807" s="220"/>
      <c r="C807" s="222"/>
    </row>
    <row r="808">
      <c r="A808" s="220"/>
      <c r="B808" s="220"/>
      <c r="C808" s="222"/>
    </row>
    <row r="809">
      <c r="A809" s="220"/>
      <c r="B809" s="220"/>
      <c r="C809" s="222"/>
    </row>
    <row r="810">
      <c r="A810" s="220"/>
      <c r="B810" s="220"/>
      <c r="C810" s="222"/>
    </row>
    <row r="811">
      <c r="A811" s="220"/>
      <c r="B811" s="220"/>
      <c r="C811" s="222"/>
    </row>
    <row r="812">
      <c r="A812" s="220"/>
      <c r="B812" s="220"/>
      <c r="C812" s="222"/>
    </row>
    <row r="813">
      <c r="A813" s="220"/>
      <c r="B813" s="220"/>
      <c r="C813" s="222"/>
    </row>
    <row r="814">
      <c r="A814" s="220"/>
      <c r="B814" s="220"/>
      <c r="C814" s="222"/>
    </row>
    <row r="815">
      <c r="A815" s="220"/>
      <c r="B815" s="220"/>
      <c r="C815" s="222"/>
    </row>
    <row r="816">
      <c r="A816" s="220"/>
      <c r="B816" s="220"/>
      <c r="C816" s="222"/>
    </row>
    <row r="817">
      <c r="A817" s="220"/>
      <c r="B817" s="220"/>
      <c r="C817" s="222"/>
    </row>
    <row r="818">
      <c r="A818" s="220"/>
      <c r="B818" s="220"/>
      <c r="C818" s="222"/>
    </row>
    <row r="819">
      <c r="A819" s="220"/>
      <c r="B819" s="220"/>
      <c r="C819" s="222"/>
    </row>
    <row r="820">
      <c r="A820" s="220"/>
      <c r="B820" s="220"/>
      <c r="C820" s="222"/>
    </row>
    <row r="821">
      <c r="A821" s="220"/>
      <c r="B821" s="220"/>
      <c r="C821" s="222"/>
    </row>
    <row r="822">
      <c r="A822" s="220"/>
      <c r="B822" s="220"/>
      <c r="C822" s="222"/>
    </row>
    <row r="823">
      <c r="A823" s="220"/>
      <c r="B823" s="220"/>
      <c r="C823" s="222"/>
    </row>
    <row r="824">
      <c r="A824" s="220"/>
      <c r="B824" s="220"/>
      <c r="C824" s="222"/>
    </row>
    <row r="825">
      <c r="A825" s="220"/>
      <c r="B825" s="220"/>
      <c r="C825" s="222"/>
    </row>
    <row r="826">
      <c r="A826" s="220"/>
      <c r="B826" s="220"/>
      <c r="C826" s="222"/>
    </row>
    <row r="827">
      <c r="A827" s="220"/>
      <c r="B827" s="220"/>
      <c r="C827" s="222"/>
    </row>
    <row r="828">
      <c r="A828" s="220"/>
      <c r="B828" s="220"/>
      <c r="C828" s="222"/>
    </row>
    <row r="829">
      <c r="A829" s="220"/>
      <c r="B829" s="220"/>
      <c r="C829" s="222"/>
    </row>
    <row r="830">
      <c r="A830" s="220"/>
      <c r="B830" s="220"/>
      <c r="C830" s="222"/>
    </row>
    <row r="831">
      <c r="A831" s="220"/>
      <c r="B831" s="220"/>
      <c r="C831" s="222"/>
    </row>
    <row r="832">
      <c r="A832" s="220"/>
      <c r="B832" s="220"/>
      <c r="C832" s="222"/>
    </row>
    <row r="833">
      <c r="A833" s="220"/>
      <c r="B833" s="220"/>
      <c r="C833" s="222"/>
    </row>
    <row r="834">
      <c r="A834" s="220"/>
      <c r="B834" s="220"/>
      <c r="C834" s="222"/>
    </row>
    <row r="835">
      <c r="A835" s="220"/>
      <c r="B835" s="220"/>
      <c r="C835" s="222"/>
    </row>
    <row r="836">
      <c r="A836" s="220"/>
      <c r="B836" s="220"/>
      <c r="C836" s="222"/>
    </row>
    <row r="837">
      <c r="A837" s="220"/>
      <c r="B837" s="220"/>
      <c r="C837" s="222"/>
    </row>
    <row r="838">
      <c r="A838" s="220"/>
      <c r="B838" s="220"/>
      <c r="C838" s="222"/>
    </row>
    <row r="839">
      <c r="A839" s="220"/>
      <c r="B839" s="220"/>
      <c r="C839" s="222"/>
    </row>
    <row r="840">
      <c r="A840" s="220"/>
      <c r="B840" s="220"/>
      <c r="C840" s="222"/>
    </row>
    <row r="841">
      <c r="A841" s="220"/>
      <c r="B841" s="220"/>
      <c r="C841" s="222"/>
    </row>
    <row r="842">
      <c r="A842" s="220"/>
      <c r="B842" s="220"/>
      <c r="C842" s="222"/>
    </row>
    <row r="843">
      <c r="A843" s="220"/>
      <c r="B843" s="220"/>
      <c r="C843" s="222"/>
    </row>
    <row r="844">
      <c r="A844" s="220"/>
      <c r="B844" s="220"/>
      <c r="C844" s="222"/>
    </row>
    <row r="845">
      <c r="A845" s="220"/>
      <c r="B845" s="220"/>
      <c r="C845" s="222"/>
    </row>
    <row r="846">
      <c r="A846" s="220"/>
      <c r="B846" s="220"/>
      <c r="C846" s="222"/>
    </row>
    <row r="847">
      <c r="A847" s="220"/>
      <c r="B847" s="220"/>
      <c r="C847" s="222"/>
    </row>
    <row r="848">
      <c r="A848" s="220"/>
      <c r="B848" s="220"/>
      <c r="C848" s="222"/>
    </row>
    <row r="849">
      <c r="A849" s="220"/>
      <c r="B849" s="220"/>
      <c r="C849" s="222"/>
    </row>
    <row r="850">
      <c r="A850" s="220"/>
      <c r="B850" s="220"/>
      <c r="C850" s="222"/>
    </row>
    <row r="851">
      <c r="A851" s="220"/>
      <c r="B851" s="220"/>
      <c r="C851" s="222"/>
    </row>
    <row r="852">
      <c r="A852" s="220"/>
      <c r="B852" s="220"/>
      <c r="C852" s="222"/>
    </row>
    <row r="853">
      <c r="A853" s="220"/>
      <c r="B853" s="220"/>
      <c r="C853" s="222"/>
    </row>
    <row r="854">
      <c r="A854" s="220"/>
      <c r="B854" s="220"/>
      <c r="C854" s="222"/>
    </row>
    <row r="855">
      <c r="A855" s="220"/>
      <c r="B855" s="220"/>
      <c r="C855" s="222"/>
    </row>
    <row r="856">
      <c r="A856" s="220"/>
      <c r="B856" s="220"/>
      <c r="C856" s="222"/>
    </row>
    <row r="857">
      <c r="A857" s="220"/>
      <c r="B857" s="220"/>
      <c r="C857" s="222"/>
    </row>
    <row r="858">
      <c r="A858" s="220"/>
      <c r="B858" s="220"/>
      <c r="C858" s="222"/>
    </row>
    <row r="859">
      <c r="A859" s="220"/>
      <c r="B859" s="220"/>
      <c r="C859" s="222"/>
    </row>
    <row r="860">
      <c r="A860" s="220"/>
      <c r="B860" s="220"/>
      <c r="C860" s="222"/>
    </row>
    <row r="861">
      <c r="A861" s="220"/>
      <c r="B861" s="220"/>
      <c r="C861" s="222"/>
    </row>
    <row r="862">
      <c r="A862" s="220"/>
      <c r="B862" s="220"/>
      <c r="C862" s="222"/>
    </row>
    <row r="863">
      <c r="A863" s="220"/>
      <c r="B863" s="220"/>
      <c r="C863" s="222"/>
    </row>
    <row r="864">
      <c r="A864" s="220"/>
      <c r="B864" s="220"/>
      <c r="C864" s="222"/>
    </row>
    <row r="865">
      <c r="A865" s="220"/>
      <c r="B865" s="220"/>
      <c r="C865" s="222"/>
    </row>
    <row r="866">
      <c r="A866" s="220"/>
      <c r="B866" s="220"/>
      <c r="C866" s="222"/>
    </row>
    <row r="867">
      <c r="A867" s="220"/>
      <c r="B867" s="220"/>
      <c r="C867" s="222"/>
    </row>
    <row r="868">
      <c r="A868" s="220"/>
      <c r="B868" s="220"/>
      <c r="C868" s="222"/>
    </row>
    <row r="869">
      <c r="A869" s="220"/>
      <c r="B869" s="220"/>
      <c r="C869" s="222"/>
    </row>
    <row r="870">
      <c r="A870" s="220"/>
      <c r="B870" s="220"/>
      <c r="C870" s="222"/>
    </row>
    <row r="871">
      <c r="A871" s="220"/>
      <c r="B871" s="220"/>
      <c r="C871" s="222"/>
    </row>
    <row r="872">
      <c r="A872" s="220"/>
      <c r="B872" s="220"/>
      <c r="C872" s="222"/>
    </row>
    <row r="873">
      <c r="A873" s="220"/>
      <c r="B873" s="220"/>
      <c r="C873" s="222"/>
    </row>
    <row r="874">
      <c r="A874" s="220"/>
      <c r="B874" s="220"/>
      <c r="C874" s="222"/>
    </row>
    <row r="875">
      <c r="A875" s="220"/>
      <c r="B875" s="220"/>
      <c r="C875" s="222"/>
    </row>
    <row r="876">
      <c r="A876" s="220"/>
      <c r="B876" s="220"/>
      <c r="C876" s="222"/>
    </row>
    <row r="877">
      <c r="A877" s="220"/>
      <c r="B877" s="220"/>
      <c r="C877" s="222"/>
    </row>
    <row r="878">
      <c r="A878" s="220"/>
      <c r="B878" s="220"/>
      <c r="C878" s="222"/>
    </row>
    <row r="879">
      <c r="A879" s="220"/>
      <c r="B879" s="220"/>
      <c r="C879" s="222"/>
    </row>
    <row r="880">
      <c r="A880" s="220"/>
      <c r="B880" s="220"/>
      <c r="C880" s="222"/>
    </row>
    <row r="881">
      <c r="A881" s="220"/>
      <c r="B881" s="220"/>
      <c r="C881" s="222"/>
    </row>
    <row r="882">
      <c r="A882" s="220"/>
      <c r="B882" s="220"/>
      <c r="C882" s="222"/>
    </row>
    <row r="883">
      <c r="A883" s="220"/>
      <c r="B883" s="220"/>
      <c r="C883" s="222"/>
    </row>
    <row r="884">
      <c r="A884" s="220"/>
      <c r="B884" s="220"/>
      <c r="C884" s="222"/>
    </row>
    <row r="885">
      <c r="A885" s="220"/>
      <c r="B885" s="220"/>
      <c r="C885" s="222"/>
    </row>
    <row r="886">
      <c r="A886" s="220"/>
      <c r="B886" s="220"/>
      <c r="C886" s="222"/>
    </row>
    <row r="887">
      <c r="A887" s="220"/>
      <c r="B887" s="220"/>
      <c r="C887" s="222"/>
    </row>
    <row r="888">
      <c r="A888" s="220"/>
      <c r="B888" s="220"/>
      <c r="C888" s="222"/>
    </row>
    <row r="889">
      <c r="A889" s="220"/>
      <c r="B889" s="220"/>
      <c r="C889" s="222"/>
    </row>
    <row r="890">
      <c r="A890" s="220"/>
      <c r="B890" s="220"/>
      <c r="C890" s="222"/>
    </row>
    <row r="891">
      <c r="A891" s="220"/>
      <c r="B891" s="220"/>
      <c r="C891" s="222"/>
    </row>
    <row r="892">
      <c r="A892" s="220"/>
      <c r="B892" s="220"/>
      <c r="C892" s="222"/>
    </row>
    <row r="893">
      <c r="A893" s="220"/>
      <c r="B893" s="220"/>
      <c r="C893" s="222"/>
    </row>
    <row r="894">
      <c r="A894" s="220"/>
      <c r="B894" s="220"/>
      <c r="C894" s="222"/>
    </row>
    <row r="895">
      <c r="A895" s="220"/>
      <c r="B895" s="220"/>
      <c r="C895" s="222"/>
    </row>
    <row r="896">
      <c r="A896" s="220"/>
      <c r="B896" s="220"/>
      <c r="C896" s="222"/>
    </row>
    <row r="897">
      <c r="A897" s="220"/>
      <c r="B897" s="220"/>
      <c r="C897" s="222"/>
    </row>
    <row r="898">
      <c r="A898" s="220"/>
      <c r="B898" s="220"/>
      <c r="C898" s="222"/>
    </row>
    <row r="899">
      <c r="A899" s="220"/>
      <c r="B899" s="220"/>
      <c r="C899" s="222"/>
    </row>
    <row r="900">
      <c r="A900" s="220"/>
      <c r="B900" s="220"/>
      <c r="C900" s="222"/>
    </row>
    <row r="901">
      <c r="A901" s="220"/>
      <c r="B901" s="220"/>
      <c r="C901" s="222"/>
    </row>
    <row r="902">
      <c r="A902" s="220"/>
      <c r="B902" s="220"/>
      <c r="C902" s="222"/>
    </row>
    <row r="903">
      <c r="A903" s="220"/>
      <c r="B903" s="220"/>
      <c r="C903" s="222"/>
    </row>
    <row r="904">
      <c r="A904" s="220"/>
      <c r="B904" s="220"/>
      <c r="C904" s="222"/>
    </row>
    <row r="905">
      <c r="A905" s="220"/>
      <c r="B905" s="220"/>
      <c r="C905" s="222"/>
    </row>
    <row r="906">
      <c r="A906" s="220"/>
      <c r="B906" s="220"/>
      <c r="C906" s="222"/>
    </row>
    <row r="907">
      <c r="A907" s="220"/>
      <c r="B907" s="220"/>
      <c r="C907" s="222"/>
    </row>
    <row r="908">
      <c r="A908" s="220"/>
      <c r="B908" s="220"/>
      <c r="C908" s="222"/>
    </row>
    <row r="909">
      <c r="A909" s="220"/>
      <c r="B909" s="220"/>
      <c r="C909" s="222"/>
    </row>
    <row r="910">
      <c r="A910" s="220"/>
      <c r="B910" s="220"/>
      <c r="C910" s="222"/>
    </row>
    <row r="911">
      <c r="A911" s="220"/>
      <c r="B911" s="220"/>
      <c r="C911" s="222"/>
    </row>
    <row r="912">
      <c r="A912" s="220"/>
      <c r="B912" s="220"/>
      <c r="C912" s="222"/>
    </row>
    <row r="913">
      <c r="A913" s="220"/>
      <c r="B913" s="220"/>
      <c r="C913" s="222"/>
    </row>
    <row r="914">
      <c r="A914" s="220"/>
      <c r="B914" s="220"/>
      <c r="C914" s="222"/>
    </row>
    <row r="915">
      <c r="A915" s="220"/>
      <c r="B915" s="220"/>
      <c r="C915" s="222"/>
    </row>
    <row r="916">
      <c r="A916" s="220"/>
      <c r="B916" s="220"/>
      <c r="C916" s="222"/>
    </row>
    <row r="917">
      <c r="A917" s="220"/>
      <c r="B917" s="220"/>
      <c r="C917" s="222"/>
    </row>
    <row r="918">
      <c r="A918" s="220"/>
      <c r="B918" s="220"/>
      <c r="C918" s="222"/>
    </row>
    <row r="919">
      <c r="A919" s="220"/>
      <c r="B919" s="220"/>
      <c r="C919" s="222"/>
    </row>
    <row r="920">
      <c r="A920" s="220"/>
      <c r="B920" s="220"/>
      <c r="C920" s="222"/>
    </row>
    <row r="921">
      <c r="A921" s="220"/>
      <c r="B921" s="220"/>
      <c r="C921" s="222"/>
    </row>
    <row r="922">
      <c r="A922" s="220"/>
      <c r="B922" s="220"/>
      <c r="C922" s="222"/>
    </row>
    <row r="923">
      <c r="A923" s="220"/>
      <c r="B923" s="220"/>
      <c r="C923" s="222"/>
    </row>
    <row r="924">
      <c r="A924" s="220"/>
      <c r="B924" s="220"/>
      <c r="C924" s="222"/>
    </row>
    <row r="925">
      <c r="A925" s="220"/>
      <c r="B925" s="220"/>
      <c r="C925" s="222"/>
    </row>
    <row r="926">
      <c r="A926" s="220"/>
      <c r="B926" s="220"/>
      <c r="C926" s="222"/>
    </row>
    <row r="927">
      <c r="A927" s="220"/>
      <c r="B927" s="220"/>
      <c r="C927" s="222"/>
    </row>
    <row r="928">
      <c r="A928" s="220"/>
      <c r="B928" s="220"/>
      <c r="C928" s="222"/>
    </row>
    <row r="929">
      <c r="A929" s="220"/>
      <c r="B929" s="220"/>
      <c r="C929" s="222"/>
    </row>
    <row r="930">
      <c r="A930" s="220"/>
      <c r="B930" s="220"/>
      <c r="C930" s="222"/>
    </row>
    <row r="931">
      <c r="A931" s="220"/>
      <c r="B931" s="220"/>
      <c r="C931" s="222"/>
    </row>
    <row r="932">
      <c r="A932" s="220"/>
      <c r="B932" s="220"/>
      <c r="C932" s="222"/>
    </row>
    <row r="933">
      <c r="A933" s="220"/>
      <c r="B933" s="220"/>
      <c r="C933" s="222"/>
    </row>
    <row r="934">
      <c r="A934" s="220"/>
      <c r="B934" s="220"/>
      <c r="C934" s="222"/>
    </row>
    <row r="935">
      <c r="A935" s="220"/>
      <c r="B935" s="220"/>
      <c r="C935" s="222"/>
    </row>
    <row r="936">
      <c r="A936" s="220"/>
      <c r="B936" s="220"/>
      <c r="C936" s="222"/>
    </row>
    <row r="937">
      <c r="A937" s="220"/>
      <c r="B937" s="220"/>
      <c r="C937" s="222"/>
    </row>
    <row r="938">
      <c r="A938" s="220"/>
      <c r="B938" s="220"/>
      <c r="C938" s="222"/>
    </row>
    <row r="939">
      <c r="A939" s="220"/>
      <c r="B939" s="220"/>
      <c r="C939" s="222"/>
    </row>
    <row r="940">
      <c r="A940" s="220"/>
      <c r="B940" s="220"/>
      <c r="C940" s="222"/>
    </row>
    <row r="941">
      <c r="A941" s="220"/>
      <c r="B941" s="220"/>
      <c r="C941" s="222"/>
    </row>
    <row r="942">
      <c r="A942" s="220"/>
      <c r="B942" s="220"/>
      <c r="C942" s="222"/>
    </row>
    <row r="943">
      <c r="A943" s="220"/>
      <c r="B943" s="220"/>
      <c r="C943" s="222"/>
    </row>
    <row r="944">
      <c r="A944" s="220"/>
      <c r="B944" s="220"/>
      <c r="C944" s="222"/>
    </row>
    <row r="945">
      <c r="A945" s="220"/>
      <c r="B945" s="220"/>
      <c r="C945" s="222"/>
    </row>
    <row r="946">
      <c r="A946" s="220"/>
      <c r="B946" s="220"/>
      <c r="C946" s="222"/>
    </row>
    <row r="947">
      <c r="A947" s="220"/>
      <c r="B947" s="220"/>
      <c r="C947" s="222"/>
    </row>
    <row r="948">
      <c r="A948" s="220"/>
      <c r="B948" s="220"/>
      <c r="C948" s="222"/>
    </row>
    <row r="949">
      <c r="A949" s="220"/>
      <c r="B949" s="220"/>
      <c r="C949" s="222"/>
    </row>
    <row r="950">
      <c r="A950" s="220"/>
      <c r="B950" s="220"/>
      <c r="C950" s="222"/>
    </row>
    <row r="951">
      <c r="A951" s="220"/>
      <c r="B951" s="220"/>
      <c r="C951" s="222"/>
    </row>
    <row r="952">
      <c r="A952" s="220"/>
      <c r="B952" s="220"/>
      <c r="C952" s="222"/>
    </row>
    <row r="953">
      <c r="A953" s="220"/>
      <c r="B953" s="220"/>
      <c r="C953" s="222"/>
    </row>
    <row r="954">
      <c r="A954" s="220"/>
      <c r="B954" s="220"/>
      <c r="C954" s="222"/>
    </row>
    <row r="955">
      <c r="A955" s="220"/>
      <c r="B955" s="220"/>
      <c r="C955" s="222"/>
    </row>
    <row r="956">
      <c r="A956" s="220"/>
      <c r="B956" s="220"/>
      <c r="C956" s="222"/>
    </row>
    <row r="957">
      <c r="A957" s="220"/>
      <c r="B957" s="220"/>
      <c r="C957" s="222"/>
    </row>
    <row r="958">
      <c r="A958" s="220"/>
      <c r="B958" s="220"/>
      <c r="C958" s="222"/>
    </row>
    <row r="959">
      <c r="A959" s="220"/>
      <c r="B959" s="220"/>
      <c r="C959" s="222"/>
    </row>
    <row r="960">
      <c r="A960" s="220"/>
      <c r="B960" s="220"/>
      <c r="C960" s="222"/>
    </row>
    <row r="961">
      <c r="A961" s="220"/>
      <c r="B961" s="220"/>
      <c r="C961" s="222"/>
    </row>
    <row r="962">
      <c r="A962" s="220"/>
      <c r="B962" s="220"/>
      <c r="C962" s="222"/>
    </row>
    <row r="963">
      <c r="A963" s="220"/>
      <c r="B963" s="220"/>
      <c r="C963" s="222"/>
    </row>
    <row r="964">
      <c r="A964" s="220"/>
      <c r="B964" s="220"/>
      <c r="C964" s="222"/>
    </row>
    <row r="965">
      <c r="A965" s="220"/>
      <c r="B965" s="220"/>
      <c r="C965" s="222"/>
    </row>
    <row r="966">
      <c r="A966" s="220"/>
      <c r="B966" s="220"/>
      <c r="C966" s="222"/>
    </row>
    <row r="967">
      <c r="A967" s="220"/>
      <c r="B967" s="220"/>
      <c r="C967" s="222"/>
    </row>
    <row r="968">
      <c r="A968" s="220"/>
      <c r="B968" s="220"/>
      <c r="C968" s="222"/>
    </row>
    <row r="969">
      <c r="A969" s="220"/>
      <c r="B969" s="220"/>
      <c r="C969" s="222"/>
    </row>
    <row r="970">
      <c r="A970" s="220"/>
      <c r="B970" s="220"/>
      <c r="C970" s="222"/>
    </row>
    <row r="971">
      <c r="A971" s="220"/>
      <c r="B971" s="220"/>
      <c r="C971" s="222"/>
    </row>
    <row r="972">
      <c r="A972" s="220"/>
      <c r="B972" s="220"/>
      <c r="C972" s="222"/>
    </row>
    <row r="973">
      <c r="A973" s="220"/>
      <c r="B973" s="220"/>
      <c r="C973" s="222"/>
    </row>
    <row r="974">
      <c r="A974" s="220"/>
      <c r="B974" s="220"/>
      <c r="C974" s="222"/>
    </row>
    <row r="975">
      <c r="A975" s="220"/>
      <c r="B975" s="220"/>
      <c r="C975" s="222"/>
    </row>
    <row r="976">
      <c r="A976" s="220"/>
      <c r="B976" s="220"/>
      <c r="C976" s="222"/>
    </row>
    <row r="977">
      <c r="A977" s="220"/>
      <c r="B977" s="220"/>
      <c r="C977" s="222"/>
    </row>
    <row r="978">
      <c r="A978" s="220"/>
      <c r="B978" s="220"/>
      <c r="C978" s="222"/>
    </row>
    <row r="979">
      <c r="A979" s="220"/>
      <c r="B979" s="220"/>
      <c r="C979" s="222"/>
    </row>
    <row r="980">
      <c r="A980" s="220"/>
      <c r="B980" s="220"/>
      <c r="C980" s="222"/>
    </row>
    <row r="981">
      <c r="A981" s="220"/>
      <c r="B981" s="220"/>
      <c r="C981" s="222"/>
    </row>
    <row r="982">
      <c r="A982" s="220"/>
      <c r="B982" s="220"/>
      <c r="C982" s="222"/>
    </row>
    <row r="983">
      <c r="A983" s="220"/>
      <c r="B983" s="220"/>
      <c r="C983" s="222"/>
    </row>
    <row r="984">
      <c r="A984" s="220"/>
      <c r="B984" s="220"/>
      <c r="C984" s="222"/>
    </row>
    <row r="985">
      <c r="A985" s="220"/>
      <c r="B985" s="220"/>
      <c r="C985" s="222"/>
    </row>
    <row r="986">
      <c r="A986" s="220"/>
      <c r="B986" s="220"/>
      <c r="C986" s="222"/>
    </row>
    <row r="987">
      <c r="A987" s="220"/>
      <c r="B987" s="220"/>
      <c r="C987" s="222"/>
    </row>
    <row r="988">
      <c r="A988" s="220"/>
      <c r="B988" s="220"/>
      <c r="C988" s="222"/>
    </row>
    <row r="989">
      <c r="A989" s="220"/>
      <c r="B989" s="220"/>
      <c r="C989" s="222"/>
    </row>
    <row r="990">
      <c r="A990" s="220"/>
      <c r="B990" s="220"/>
      <c r="C990" s="222"/>
    </row>
    <row r="991">
      <c r="A991" s="220"/>
      <c r="B991" s="220"/>
      <c r="C991" s="222"/>
    </row>
    <row r="992">
      <c r="A992" s="220"/>
      <c r="B992" s="220"/>
      <c r="C992" s="222"/>
    </row>
    <row r="993">
      <c r="A993" s="220"/>
      <c r="B993" s="220"/>
      <c r="C993" s="222"/>
    </row>
    <row r="994">
      <c r="A994" s="220"/>
      <c r="B994" s="220"/>
      <c r="C994" s="222"/>
    </row>
    <row r="995">
      <c r="A995" s="220"/>
      <c r="B995" s="220"/>
      <c r="C995" s="222"/>
    </row>
    <row r="996">
      <c r="A996" s="220"/>
      <c r="B996" s="220"/>
      <c r="C996" s="222"/>
    </row>
    <row r="997">
      <c r="A997" s="220"/>
      <c r="B997" s="220"/>
      <c r="C997" s="222"/>
    </row>
    <row r="998">
      <c r="A998" s="220"/>
      <c r="B998" s="220"/>
      <c r="C998" s="222"/>
    </row>
    <row r="999">
      <c r="A999" s="220"/>
      <c r="B999" s="220"/>
      <c r="C999" s="222"/>
    </row>
    <row r="1000">
      <c r="A1000" s="220"/>
      <c r="B1000" s="220"/>
      <c r="C1000" s="222"/>
    </row>
    <row r="1001">
      <c r="A1001" s="220"/>
      <c r="B1001" s="220"/>
      <c r="C1001" s="222"/>
    </row>
    <row r="1002">
      <c r="A1002" s="220"/>
      <c r="B1002" s="220"/>
      <c r="C1002" s="222"/>
    </row>
    <row r="1003">
      <c r="A1003" s="220"/>
      <c r="B1003" s="220"/>
      <c r="C1003" s="222"/>
    </row>
    <row r="1004">
      <c r="A1004" s="220"/>
      <c r="B1004" s="220"/>
      <c r="C1004" s="222"/>
    </row>
    <row r="1005">
      <c r="A1005" s="220"/>
      <c r="B1005" s="220"/>
      <c r="C1005" s="222"/>
    </row>
    <row r="1006">
      <c r="A1006" s="220"/>
      <c r="B1006" s="220"/>
      <c r="C1006" s="222"/>
    </row>
    <row r="1007">
      <c r="A1007" s="220"/>
      <c r="B1007" s="220"/>
      <c r="C1007" s="222"/>
    </row>
    <row r="1008">
      <c r="A1008" s="220"/>
      <c r="B1008" s="220"/>
      <c r="C1008" s="222"/>
    </row>
    <row r="1009">
      <c r="A1009" s="220"/>
      <c r="B1009" s="220"/>
      <c r="C1009" s="222"/>
    </row>
    <row r="1010">
      <c r="A1010" s="220"/>
      <c r="B1010" s="220"/>
      <c r="C1010" s="222"/>
    </row>
    <row r="1011">
      <c r="A1011" s="220"/>
      <c r="B1011" s="220"/>
      <c r="C1011" s="222"/>
    </row>
    <row r="1012">
      <c r="A1012" s="220"/>
      <c r="B1012" s="220"/>
      <c r="C1012" s="222"/>
    </row>
    <row r="1013">
      <c r="A1013" s="220"/>
      <c r="B1013" s="220"/>
      <c r="C1013" s="222"/>
    </row>
    <row r="1014">
      <c r="A1014" s="220"/>
      <c r="B1014" s="220"/>
      <c r="C1014" s="222"/>
    </row>
    <row r="1015">
      <c r="A1015" s="220"/>
      <c r="B1015" s="220"/>
      <c r="C1015" s="222"/>
    </row>
    <row r="1016">
      <c r="A1016" s="220"/>
      <c r="B1016" s="220"/>
      <c r="C1016" s="222"/>
    </row>
    <row r="1017">
      <c r="A1017" s="220"/>
      <c r="B1017" s="220"/>
      <c r="C1017" s="222"/>
    </row>
    <row r="1018">
      <c r="A1018" s="220"/>
      <c r="B1018" s="220"/>
      <c r="C1018" s="222"/>
    </row>
    <row r="1019">
      <c r="A1019" s="220"/>
      <c r="B1019" s="220"/>
      <c r="C1019" s="222"/>
    </row>
    <row r="1020">
      <c r="A1020" s="220"/>
      <c r="B1020" s="220"/>
      <c r="C1020" s="222"/>
    </row>
    <row r="1021">
      <c r="A1021" s="220"/>
      <c r="B1021" s="220"/>
      <c r="C1021" s="222"/>
    </row>
    <row r="1022">
      <c r="A1022" s="220"/>
      <c r="B1022" s="220"/>
      <c r="C1022" s="222"/>
    </row>
    <row r="1023">
      <c r="A1023" s="220"/>
      <c r="B1023" s="220"/>
      <c r="C1023" s="222"/>
    </row>
    <row r="1024">
      <c r="A1024" s="220"/>
      <c r="B1024" s="220"/>
      <c r="C1024" s="222"/>
    </row>
    <row r="1025">
      <c r="A1025" s="220"/>
      <c r="B1025" s="220"/>
      <c r="C1025" s="222"/>
    </row>
    <row r="1026">
      <c r="A1026" s="220"/>
      <c r="B1026" s="220"/>
      <c r="C1026" s="222"/>
    </row>
    <row r="1027">
      <c r="A1027" s="220"/>
      <c r="B1027" s="220"/>
      <c r="C1027" s="222"/>
    </row>
    <row r="1028">
      <c r="A1028" s="220"/>
      <c r="B1028" s="220"/>
      <c r="C1028" s="222"/>
    </row>
    <row r="1029">
      <c r="A1029" s="220"/>
      <c r="B1029" s="220"/>
      <c r="C1029" s="222"/>
    </row>
    <row r="1030">
      <c r="A1030" s="220"/>
      <c r="B1030" s="220"/>
      <c r="C1030" s="222"/>
    </row>
    <row r="1031">
      <c r="A1031" s="220"/>
      <c r="B1031" s="220"/>
      <c r="C1031" s="222"/>
    </row>
    <row r="1032">
      <c r="A1032" s="220"/>
      <c r="B1032" s="220"/>
      <c r="C1032" s="222"/>
    </row>
    <row r="1033">
      <c r="A1033" s="220"/>
      <c r="B1033" s="220"/>
      <c r="C1033" s="222"/>
    </row>
    <row r="1034">
      <c r="A1034" s="220"/>
      <c r="B1034" s="220"/>
      <c r="C1034" s="222"/>
    </row>
    <row r="1035">
      <c r="A1035" s="220"/>
      <c r="B1035" s="220"/>
      <c r="C1035" s="222"/>
    </row>
    <row r="1036">
      <c r="A1036" s="220"/>
      <c r="B1036" s="220"/>
      <c r="C1036" s="222"/>
    </row>
    <row r="1037">
      <c r="A1037" s="220"/>
      <c r="B1037" s="220"/>
      <c r="C1037" s="222"/>
    </row>
    <row r="1038">
      <c r="A1038" s="220"/>
      <c r="B1038" s="220"/>
      <c r="C1038" s="222"/>
    </row>
    <row r="1039">
      <c r="A1039" s="220"/>
      <c r="B1039" s="220"/>
      <c r="C1039" s="222"/>
    </row>
    <row r="1040">
      <c r="A1040" s="220"/>
      <c r="B1040" s="220"/>
      <c r="C1040" s="222"/>
    </row>
    <row r="1041">
      <c r="A1041" s="220"/>
      <c r="B1041" s="220"/>
      <c r="C1041" s="222"/>
    </row>
    <row r="1042">
      <c r="A1042" s="220"/>
      <c r="B1042" s="220"/>
      <c r="C1042" s="222"/>
    </row>
    <row r="1043">
      <c r="A1043" s="220"/>
      <c r="B1043" s="220"/>
      <c r="C1043" s="222"/>
    </row>
    <row r="1044">
      <c r="A1044" s="220"/>
      <c r="B1044" s="220"/>
      <c r="C1044" s="222"/>
    </row>
    <row r="1045">
      <c r="A1045" s="220"/>
      <c r="B1045" s="220"/>
      <c r="C1045" s="222"/>
    </row>
    <row r="1046">
      <c r="A1046" s="220"/>
      <c r="B1046" s="220"/>
      <c r="C1046" s="222"/>
    </row>
    <row r="1047">
      <c r="A1047" s="220"/>
      <c r="B1047" s="220"/>
      <c r="C1047" s="222"/>
    </row>
    <row r="1048">
      <c r="A1048" s="220"/>
      <c r="B1048" s="220"/>
      <c r="C1048" s="222"/>
    </row>
    <row r="1049">
      <c r="A1049" s="220"/>
      <c r="B1049" s="220"/>
      <c r="C1049" s="222"/>
    </row>
    <row r="1050">
      <c r="A1050" s="220"/>
      <c r="B1050" s="220"/>
      <c r="C1050" s="222"/>
    </row>
    <row r="1051">
      <c r="A1051" s="220"/>
      <c r="B1051" s="220"/>
      <c r="C1051" s="222"/>
    </row>
    <row r="1052">
      <c r="A1052" s="220"/>
      <c r="B1052" s="220"/>
      <c r="C1052" s="222"/>
    </row>
    <row r="1053">
      <c r="A1053" s="220"/>
      <c r="B1053" s="220"/>
      <c r="C1053" s="222"/>
    </row>
    <row r="1054">
      <c r="A1054" s="220"/>
      <c r="B1054" s="220"/>
      <c r="C1054" s="222"/>
    </row>
    <row r="1055">
      <c r="A1055" s="220"/>
      <c r="B1055" s="220"/>
      <c r="C1055" s="222"/>
    </row>
    <row r="1056">
      <c r="A1056" s="220"/>
      <c r="B1056" s="220"/>
      <c r="C1056" s="222"/>
    </row>
    <row r="1057">
      <c r="A1057" s="220"/>
      <c r="B1057" s="220"/>
      <c r="C1057" s="222"/>
    </row>
    <row r="1058">
      <c r="A1058" s="220"/>
      <c r="B1058" s="220"/>
      <c r="C1058" s="222"/>
    </row>
    <row r="1059">
      <c r="A1059" s="220"/>
      <c r="B1059" s="220"/>
      <c r="C1059" s="222"/>
    </row>
    <row r="1060">
      <c r="A1060" s="220"/>
      <c r="B1060" s="220"/>
      <c r="C1060" s="222"/>
    </row>
    <row r="1061">
      <c r="A1061" s="220"/>
      <c r="B1061" s="220"/>
      <c r="C1061" s="222"/>
    </row>
    <row r="1062">
      <c r="A1062" s="220"/>
      <c r="B1062" s="220"/>
      <c r="C1062" s="222"/>
    </row>
    <row r="1063">
      <c r="A1063" s="220"/>
      <c r="B1063" s="220"/>
      <c r="C1063" s="222"/>
    </row>
    <row r="1064">
      <c r="A1064" s="220"/>
      <c r="B1064" s="220"/>
      <c r="C1064" s="222"/>
    </row>
    <row r="1065">
      <c r="A1065" s="220"/>
      <c r="B1065" s="220"/>
      <c r="C1065" s="222"/>
    </row>
    <row r="1066">
      <c r="A1066" s="220"/>
      <c r="B1066" s="220"/>
      <c r="C1066" s="222"/>
    </row>
    <row r="1067">
      <c r="A1067" s="220"/>
      <c r="B1067" s="220"/>
      <c r="C1067" s="222"/>
    </row>
    <row r="1068">
      <c r="A1068" s="220"/>
      <c r="B1068" s="220"/>
      <c r="C1068" s="222"/>
    </row>
    <row r="1069">
      <c r="A1069" s="220"/>
      <c r="B1069" s="220"/>
      <c r="C1069" s="222"/>
    </row>
    <row r="1070">
      <c r="A1070" s="220"/>
      <c r="B1070" s="220"/>
      <c r="C1070" s="222"/>
    </row>
    <row r="1071">
      <c r="A1071" s="220"/>
      <c r="B1071" s="220"/>
      <c r="C1071" s="222"/>
    </row>
    <row r="1072">
      <c r="A1072" s="220"/>
      <c r="B1072" s="220"/>
      <c r="C1072" s="222"/>
    </row>
    <row r="1073">
      <c r="A1073" s="220"/>
      <c r="B1073" s="220"/>
      <c r="C1073" s="222"/>
    </row>
    <row r="1074">
      <c r="A1074" s="220"/>
      <c r="B1074" s="220"/>
      <c r="C1074" s="222"/>
    </row>
    <row r="1075">
      <c r="A1075" s="220"/>
      <c r="B1075" s="220"/>
      <c r="C1075" s="222"/>
    </row>
    <row r="1076">
      <c r="A1076" s="220"/>
      <c r="B1076" s="220"/>
      <c r="C1076" s="222"/>
    </row>
    <row r="1077">
      <c r="A1077" s="220"/>
      <c r="B1077" s="220"/>
      <c r="C1077" s="222"/>
    </row>
    <row r="1078">
      <c r="A1078" s="220"/>
      <c r="B1078" s="220"/>
      <c r="C1078" s="222"/>
    </row>
    <row r="1079">
      <c r="A1079" s="220"/>
      <c r="B1079" s="220"/>
      <c r="C1079" s="222"/>
    </row>
    <row r="1080">
      <c r="A1080" s="220"/>
      <c r="B1080" s="220"/>
      <c r="C1080" s="222"/>
    </row>
    <row r="1081">
      <c r="A1081" s="220"/>
      <c r="B1081" s="220"/>
      <c r="C1081" s="222"/>
    </row>
    <row r="1082">
      <c r="A1082" s="220"/>
      <c r="B1082" s="220"/>
      <c r="C1082" s="222"/>
    </row>
    <row r="1083">
      <c r="A1083" s="220"/>
      <c r="B1083" s="220"/>
      <c r="C1083" s="222"/>
    </row>
  </sheetData>
  <mergeCells count="56">
    <mergeCell ref="A77:A78"/>
    <mergeCell ref="B77:B78"/>
    <mergeCell ref="A79:A81"/>
    <mergeCell ref="B79:B81"/>
    <mergeCell ref="C79:C81"/>
    <mergeCell ref="B83:B90"/>
    <mergeCell ref="C83:C85"/>
    <mergeCell ref="A105:A109"/>
    <mergeCell ref="A110:A111"/>
    <mergeCell ref="A115:A118"/>
    <mergeCell ref="A119:A120"/>
    <mergeCell ref="A125:A126"/>
    <mergeCell ref="A128:A129"/>
    <mergeCell ref="A135:A136"/>
    <mergeCell ref="B110:B111"/>
    <mergeCell ref="B115:B118"/>
    <mergeCell ref="B119:B120"/>
    <mergeCell ref="B125:B126"/>
    <mergeCell ref="B128:B129"/>
    <mergeCell ref="B135:B136"/>
    <mergeCell ref="A83:A90"/>
    <mergeCell ref="A91:A94"/>
    <mergeCell ref="A97:A98"/>
    <mergeCell ref="B97:B98"/>
    <mergeCell ref="A99:A103"/>
    <mergeCell ref="B99:B103"/>
    <mergeCell ref="B105:B109"/>
    <mergeCell ref="H1:H2"/>
    <mergeCell ref="I1:I2"/>
    <mergeCell ref="A1:A2"/>
    <mergeCell ref="B1:B2"/>
    <mergeCell ref="C1:C2"/>
    <mergeCell ref="D1:D2"/>
    <mergeCell ref="E1:E2"/>
    <mergeCell ref="F1:F2"/>
    <mergeCell ref="G1:G2"/>
    <mergeCell ref="B19:B27"/>
    <mergeCell ref="C19:C21"/>
    <mergeCell ref="A3:A10"/>
    <mergeCell ref="B3:B10"/>
    <mergeCell ref="A11:A14"/>
    <mergeCell ref="B11:B14"/>
    <mergeCell ref="A16:A18"/>
    <mergeCell ref="B16:B18"/>
    <mergeCell ref="A19:A27"/>
    <mergeCell ref="B60:B76"/>
    <mergeCell ref="C60:C61"/>
    <mergeCell ref="A28:A31"/>
    <mergeCell ref="B28:B31"/>
    <mergeCell ref="A33:A34"/>
    <mergeCell ref="B33:B34"/>
    <mergeCell ref="A35:A59"/>
    <mergeCell ref="B35:B59"/>
    <mergeCell ref="A60:A76"/>
    <mergeCell ref="B91:B94"/>
    <mergeCell ref="C91:C9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8.63"/>
    <col customWidth="1" hidden="1" min="6" max="6" width="6.13"/>
    <col customWidth="1" min="7" max="7" width="8.63"/>
    <col customWidth="1" hidden="1" min="8" max="8" width="6.25"/>
    <col customWidth="1" min="9" max="9" width="8.63"/>
    <col customWidth="1" hidden="1" min="10" max="10" width="6.5"/>
  </cols>
  <sheetData>
    <row r="1">
      <c r="A1" s="223" t="s">
        <v>153</v>
      </c>
      <c r="B1" s="223" t="s">
        <v>160</v>
      </c>
      <c r="C1" s="224" t="s">
        <v>161</v>
      </c>
      <c r="D1" s="224" t="s">
        <v>249</v>
      </c>
      <c r="E1" s="224" t="s">
        <v>250</v>
      </c>
      <c r="F1" s="224"/>
      <c r="G1" s="224" t="s">
        <v>251</v>
      </c>
      <c r="H1" s="224"/>
      <c r="I1" s="224" t="s">
        <v>252</v>
      </c>
      <c r="J1" s="224"/>
      <c r="K1" s="225" t="s">
        <v>253</v>
      </c>
      <c r="L1" s="226" t="s">
        <v>254</v>
      </c>
    </row>
    <row r="2">
      <c r="E2" s="224" t="s">
        <v>154</v>
      </c>
      <c r="F2" s="224" t="s">
        <v>255</v>
      </c>
      <c r="G2" s="224" t="s">
        <v>154</v>
      </c>
      <c r="H2" s="224" t="s">
        <v>255</v>
      </c>
      <c r="I2" s="224" t="s">
        <v>154</v>
      </c>
      <c r="J2" s="224" t="s">
        <v>255</v>
      </c>
    </row>
    <row r="3">
      <c r="A3" s="227" t="s">
        <v>59</v>
      </c>
      <c r="B3" s="228">
        <v>44075.0</v>
      </c>
      <c r="C3" s="228"/>
      <c r="D3" s="122" t="s">
        <v>155</v>
      </c>
      <c r="F3" s="229" t="str">
        <f t="shared" ref="F3:F42" si="1">IF(E3="", "", E3/2)</f>
        <v/>
      </c>
      <c r="H3" s="229" t="str">
        <f t="shared" ref="H3:H42" si="2">IF(G3="", "", G3/2)</f>
        <v/>
      </c>
      <c r="J3" s="229" t="str">
        <f t="shared" ref="J3:J42" si="3">IF(I3="", "", I3/2)</f>
        <v/>
      </c>
      <c r="K3" s="229" t="str">
        <f t="shared" ref="K3:K42" si="4">IF(SUM(F3,H3,J3)=0, "", MIN(2500, SUM(F3,H3,J3)))</f>
        <v/>
      </c>
      <c r="L3" s="230" t="str">
        <f t="shared" ref="L3:L42" si="5">IF(COUNTA(F3,H3,J3)=0, "", IF(SUM(F3,H3,J3)&gt;2500, SUM(F3,H3,J3)-2500, ""))</f>
        <v/>
      </c>
    </row>
    <row r="4">
      <c r="A4" s="227" t="s">
        <v>158</v>
      </c>
      <c r="B4" s="228">
        <v>44076.0</v>
      </c>
      <c r="C4" s="231">
        <v>45980.0</v>
      </c>
      <c r="D4" s="122" t="s">
        <v>256</v>
      </c>
      <c r="E4" s="122">
        <v>156.0</v>
      </c>
      <c r="F4" s="229">
        <f t="shared" si="1"/>
        <v>78</v>
      </c>
      <c r="G4" s="230">
        <f>4213+6273</f>
        <v>10486</v>
      </c>
      <c r="H4" s="229">
        <f t="shared" si="2"/>
        <v>5243</v>
      </c>
      <c r="J4" s="229" t="str">
        <f t="shared" si="3"/>
        <v/>
      </c>
      <c r="K4" s="229">
        <f t="shared" si="4"/>
        <v>2500</v>
      </c>
      <c r="L4" s="229">
        <f t="shared" si="5"/>
        <v>2821</v>
      </c>
    </row>
    <row r="5">
      <c r="A5" s="227" t="s">
        <v>75</v>
      </c>
      <c r="B5" s="228">
        <v>44077.0</v>
      </c>
      <c r="C5" s="231">
        <v>45960.0</v>
      </c>
      <c r="D5" s="122" t="s">
        <v>256</v>
      </c>
      <c r="E5" s="122">
        <v>645.0</v>
      </c>
      <c r="F5" s="229">
        <f t="shared" si="1"/>
        <v>322.5</v>
      </c>
      <c r="G5" s="122">
        <v>662.0</v>
      </c>
      <c r="H5" s="229">
        <f t="shared" si="2"/>
        <v>331</v>
      </c>
      <c r="J5" s="229" t="str">
        <f t="shared" si="3"/>
        <v/>
      </c>
      <c r="K5" s="229">
        <f t="shared" si="4"/>
        <v>653.5</v>
      </c>
      <c r="L5" s="230" t="str">
        <f t="shared" si="5"/>
        <v/>
      </c>
    </row>
    <row r="6">
      <c r="A6" s="227" t="s">
        <v>69</v>
      </c>
      <c r="B6" s="228">
        <v>44078.0</v>
      </c>
      <c r="C6" s="231">
        <v>45942.0</v>
      </c>
      <c r="D6" s="122" t="s">
        <v>256</v>
      </c>
      <c r="E6" s="230">
        <f>613+615</f>
        <v>1228</v>
      </c>
      <c r="F6" s="229">
        <f t="shared" si="1"/>
        <v>614</v>
      </c>
      <c r="G6" s="122">
        <v>628.0</v>
      </c>
      <c r="H6" s="229">
        <f t="shared" si="2"/>
        <v>314</v>
      </c>
      <c r="J6" s="229" t="str">
        <f t="shared" si="3"/>
        <v/>
      </c>
      <c r="K6" s="229">
        <f t="shared" si="4"/>
        <v>928</v>
      </c>
      <c r="L6" s="230" t="str">
        <f t="shared" si="5"/>
        <v/>
      </c>
    </row>
    <row r="7">
      <c r="A7" s="227" t="s">
        <v>79</v>
      </c>
      <c r="B7" s="228">
        <v>44079.0</v>
      </c>
      <c r="C7" s="228"/>
      <c r="D7" s="122" t="s">
        <v>155</v>
      </c>
      <c r="F7" s="229" t="str">
        <f t="shared" si="1"/>
        <v/>
      </c>
      <c r="H7" s="229" t="str">
        <f t="shared" si="2"/>
        <v/>
      </c>
      <c r="J7" s="229" t="str">
        <f t="shared" si="3"/>
        <v/>
      </c>
      <c r="K7" s="229" t="str">
        <f t="shared" si="4"/>
        <v/>
      </c>
      <c r="L7" s="230" t="str">
        <f t="shared" si="5"/>
        <v/>
      </c>
    </row>
    <row r="8">
      <c r="A8" s="227" t="s">
        <v>92</v>
      </c>
      <c r="B8" s="228">
        <v>44080.0</v>
      </c>
      <c r="C8" s="228"/>
      <c r="D8" s="122" t="s">
        <v>155</v>
      </c>
      <c r="F8" s="229" t="str">
        <f t="shared" si="1"/>
        <v/>
      </c>
      <c r="H8" s="229" t="str">
        <f t="shared" si="2"/>
        <v/>
      </c>
      <c r="J8" s="229" t="str">
        <f t="shared" si="3"/>
        <v/>
      </c>
      <c r="K8" s="229" t="str">
        <f t="shared" si="4"/>
        <v/>
      </c>
      <c r="L8" s="230" t="str">
        <f t="shared" si="5"/>
        <v/>
      </c>
    </row>
    <row r="9">
      <c r="A9" s="227" t="s">
        <v>96</v>
      </c>
      <c r="B9" s="228">
        <v>44081.0</v>
      </c>
      <c r="C9" s="228"/>
      <c r="D9" s="122" t="s">
        <v>155</v>
      </c>
      <c r="F9" s="229" t="str">
        <f t="shared" si="1"/>
        <v/>
      </c>
      <c r="H9" s="229" t="str">
        <f t="shared" si="2"/>
        <v/>
      </c>
      <c r="J9" s="229" t="str">
        <f t="shared" si="3"/>
        <v/>
      </c>
      <c r="K9" s="229" t="str">
        <f t="shared" si="4"/>
        <v/>
      </c>
      <c r="L9" s="230" t="str">
        <f t="shared" si="5"/>
        <v/>
      </c>
    </row>
    <row r="10">
      <c r="A10" s="227" t="s">
        <v>99</v>
      </c>
      <c r="B10" s="228">
        <v>44082.0</v>
      </c>
      <c r="C10" s="231">
        <v>45950.0</v>
      </c>
      <c r="D10" s="122" t="s">
        <v>256</v>
      </c>
      <c r="E10" s="122">
        <v>611.0</v>
      </c>
      <c r="F10" s="229">
        <f t="shared" si="1"/>
        <v>305.5</v>
      </c>
      <c r="G10" s="122">
        <v>3082.0</v>
      </c>
      <c r="H10" s="229">
        <f t="shared" si="2"/>
        <v>1541</v>
      </c>
      <c r="J10" s="229" t="str">
        <f t="shared" si="3"/>
        <v/>
      </c>
      <c r="K10" s="229">
        <f t="shared" si="4"/>
        <v>1846.5</v>
      </c>
      <c r="L10" s="230" t="str">
        <f t="shared" si="5"/>
        <v/>
      </c>
    </row>
    <row r="11">
      <c r="A11" s="227" t="s">
        <v>86</v>
      </c>
      <c r="B11" s="228">
        <v>44083.0</v>
      </c>
      <c r="C11" s="228"/>
      <c r="D11" s="122" t="s">
        <v>155</v>
      </c>
      <c r="F11" s="229" t="str">
        <f t="shared" si="1"/>
        <v/>
      </c>
      <c r="H11" s="229" t="str">
        <f t="shared" si="2"/>
        <v/>
      </c>
      <c r="J11" s="229" t="str">
        <f t="shared" si="3"/>
        <v/>
      </c>
      <c r="K11" s="229" t="str">
        <f t="shared" si="4"/>
        <v/>
      </c>
      <c r="L11" s="230" t="str">
        <f t="shared" si="5"/>
        <v/>
      </c>
    </row>
    <row r="12">
      <c r="A12" s="227" t="s">
        <v>104</v>
      </c>
      <c r="B12" s="228">
        <v>44084.0</v>
      </c>
      <c r="C12" s="228"/>
      <c r="D12" s="122" t="s">
        <v>155</v>
      </c>
      <c r="F12" s="229" t="str">
        <f t="shared" si="1"/>
        <v/>
      </c>
      <c r="H12" s="229" t="str">
        <f t="shared" si="2"/>
        <v/>
      </c>
      <c r="J12" s="229" t="str">
        <f t="shared" si="3"/>
        <v/>
      </c>
      <c r="K12" s="229" t="str">
        <f t="shared" si="4"/>
        <v/>
      </c>
      <c r="L12" s="230" t="str">
        <f t="shared" si="5"/>
        <v/>
      </c>
    </row>
    <row r="13">
      <c r="A13" s="227" t="s">
        <v>100</v>
      </c>
      <c r="B13" s="228">
        <v>44085.0</v>
      </c>
      <c r="C13" s="228"/>
      <c r="D13" s="122" t="s">
        <v>155</v>
      </c>
      <c r="F13" s="229" t="str">
        <f t="shared" si="1"/>
        <v/>
      </c>
      <c r="H13" s="229" t="str">
        <f t="shared" si="2"/>
        <v/>
      </c>
      <c r="J13" s="229" t="str">
        <f t="shared" si="3"/>
        <v/>
      </c>
      <c r="K13" s="229" t="str">
        <f t="shared" si="4"/>
        <v/>
      </c>
      <c r="L13" s="230" t="str">
        <f t="shared" si="5"/>
        <v/>
      </c>
    </row>
    <row r="14">
      <c r="A14" s="227" t="s">
        <v>60</v>
      </c>
      <c r="B14" s="228">
        <v>44086.0</v>
      </c>
      <c r="C14" s="228"/>
      <c r="D14" s="122" t="s">
        <v>155</v>
      </c>
      <c r="F14" s="229" t="str">
        <f t="shared" si="1"/>
        <v/>
      </c>
      <c r="H14" s="229" t="str">
        <f t="shared" si="2"/>
        <v/>
      </c>
      <c r="J14" s="229" t="str">
        <f t="shared" si="3"/>
        <v/>
      </c>
      <c r="K14" s="229" t="str">
        <f t="shared" si="4"/>
        <v/>
      </c>
      <c r="L14" s="230" t="str">
        <f t="shared" si="5"/>
        <v/>
      </c>
    </row>
    <row r="15">
      <c r="A15" s="227" t="s">
        <v>81</v>
      </c>
      <c r="B15" s="228">
        <v>44087.0</v>
      </c>
      <c r="C15" s="228"/>
      <c r="D15" s="122" t="s">
        <v>155</v>
      </c>
      <c r="F15" s="229" t="str">
        <f t="shared" si="1"/>
        <v/>
      </c>
      <c r="H15" s="229" t="str">
        <f t="shared" si="2"/>
        <v/>
      </c>
      <c r="J15" s="229" t="str">
        <f t="shared" si="3"/>
        <v/>
      </c>
      <c r="K15" s="229" t="str">
        <f t="shared" si="4"/>
        <v/>
      </c>
      <c r="L15" s="230" t="str">
        <f t="shared" si="5"/>
        <v/>
      </c>
    </row>
    <row r="16">
      <c r="A16" s="227" t="s">
        <v>122</v>
      </c>
      <c r="B16" s="228">
        <v>44088.0</v>
      </c>
      <c r="C16" s="228"/>
      <c r="D16" s="122" t="s">
        <v>155</v>
      </c>
      <c r="F16" s="229" t="str">
        <f t="shared" si="1"/>
        <v/>
      </c>
      <c r="H16" s="229" t="str">
        <f t="shared" si="2"/>
        <v/>
      </c>
      <c r="J16" s="229" t="str">
        <f t="shared" si="3"/>
        <v/>
      </c>
      <c r="K16" s="229" t="str">
        <f t="shared" si="4"/>
        <v/>
      </c>
      <c r="L16" s="230" t="str">
        <f t="shared" si="5"/>
        <v/>
      </c>
    </row>
    <row r="17">
      <c r="A17" s="227" t="s">
        <v>56</v>
      </c>
      <c r="B17" s="228">
        <v>44089.0</v>
      </c>
      <c r="C17" s="228"/>
      <c r="D17" s="122" t="s">
        <v>155</v>
      </c>
      <c r="F17" s="229" t="str">
        <f t="shared" si="1"/>
        <v/>
      </c>
      <c r="H17" s="229" t="str">
        <f t="shared" si="2"/>
        <v/>
      </c>
      <c r="J17" s="229" t="str">
        <f t="shared" si="3"/>
        <v/>
      </c>
      <c r="K17" s="229" t="str">
        <f t="shared" si="4"/>
        <v/>
      </c>
      <c r="L17" s="230" t="str">
        <f t="shared" si="5"/>
        <v/>
      </c>
    </row>
    <row r="18">
      <c r="A18" s="227" t="s">
        <v>61</v>
      </c>
      <c r="B18" s="228">
        <v>44090.0</v>
      </c>
      <c r="C18" s="231">
        <v>45958.0</v>
      </c>
      <c r="D18" s="122" t="s">
        <v>256</v>
      </c>
      <c r="E18" s="122">
        <v>650.0</v>
      </c>
      <c r="F18" s="229">
        <f t="shared" si="1"/>
        <v>325</v>
      </c>
      <c r="G18" s="122">
        <v>650.0</v>
      </c>
      <c r="H18" s="229">
        <f t="shared" si="2"/>
        <v>325</v>
      </c>
      <c r="I18" s="122">
        <v>630.0</v>
      </c>
      <c r="J18" s="229">
        <f t="shared" si="3"/>
        <v>315</v>
      </c>
      <c r="K18" s="229">
        <f t="shared" si="4"/>
        <v>965</v>
      </c>
      <c r="L18" s="230" t="str">
        <f t="shared" si="5"/>
        <v/>
      </c>
    </row>
    <row r="19">
      <c r="A19" s="227" t="s">
        <v>87</v>
      </c>
      <c r="B19" s="228">
        <v>44091.0</v>
      </c>
      <c r="C19" s="228"/>
      <c r="D19" s="122" t="s">
        <v>155</v>
      </c>
      <c r="F19" s="229" t="str">
        <f t="shared" si="1"/>
        <v/>
      </c>
      <c r="H19" s="229" t="str">
        <f t="shared" si="2"/>
        <v/>
      </c>
      <c r="J19" s="229" t="str">
        <f t="shared" si="3"/>
        <v/>
      </c>
      <c r="K19" s="229" t="str">
        <f t="shared" si="4"/>
        <v/>
      </c>
      <c r="L19" s="230" t="str">
        <f t="shared" si="5"/>
        <v/>
      </c>
    </row>
    <row r="20">
      <c r="A20" s="227" t="s">
        <v>88</v>
      </c>
      <c r="B20" s="228">
        <v>44092.0</v>
      </c>
      <c r="C20" s="228"/>
      <c r="D20" s="122" t="s">
        <v>155</v>
      </c>
      <c r="F20" s="229" t="str">
        <f t="shared" si="1"/>
        <v/>
      </c>
      <c r="H20" s="229" t="str">
        <f t="shared" si="2"/>
        <v/>
      </c>
      <c r="J20" s="229" t="str">
        <f t="shared" si="3"/>
        <v/>
      </c>
      <c r="K20" s="229" t="str">
        <f t="shared" si="4"/>
        <v/>
      </c>
      <c r="L20" s="230" t="str">
        <f t="shared" si="5"/>
        <v/>
      </c>
    </row>
    <row r="21">
      <c r="A21" s="227" t="s">
        <v>118</v>
      </c>
      <c r="B21" s="228">
        <v>44093.0</v>
      </c>
      <c r="C21" s="228"/>
      <c r="D21" s="122" t="s">
        <v>155</v>
      </c>
      <c r="F21" s="229" t="str">
        <f t="shared" si="1"/>
        <v/>
      </c>
      <c r="H21" s="229" t="str">
        <f t="shared" si="2"/>
        <v/>
      </c>
      <c r="J21" s="229" t="str">
        <f t="shared" si="3"/>
        <v/>
      </c>
      <c r="K21" s="229" t="str">
        <f t="shared" si="4"/>
        <v/>
      </c>
      <c r="L21" s="230" t="str">
        <f t="shared" si="5"/>
        <v/>
      </c>
    </row>
    <row r="22">
      <c r="A22" s="227" t="s">
        <v>66</v>
      </c>
      <c r="B22" s="228">
        <v>44094.0</v>
      </c>
      <c r="C22" s="228"/>
      <c r="D22" s="122" t="s">
        <v>155</v>
      </c>
      <c r="F22" s="229" t="str">
        <f t="shared" si="1"/>
        <v/>
      </c>
      <c r="H22" s="229" t="str">
        <f t="shared" si="2"/>
        <v/>
      </c>
      <c r="J22" s="229" t="str">
        <f t="shared" si="3"/>
        <v/>
      </c>
      <c r="K22" s="229" t="str">
        <f t="shared" si="4"/>
        <v/>
      </c>
      <c r="L22" s="230" t="str">
        <f t="shared" si="5"/>
        <v/>
      </c>
    </row>
    <row r="23">
      <c r="A23" s="227" t="s">
        <v>159</v>
      </c>
      <c r="B23" s="228">
        <v>44095.0</v>
      </c>
      <c r="C23" s="228"/>
      <c r="D23" s="122" t="s">
        <v>155</v>
      </c>
      <c r="F23" s="229" t="str">
        <f t="shared" si="1"/>
        <v/>
      </c>
      <c r="H23" s="229" t="str">
        <f t="shared" si="2"/>
        <v/>
      </c>
      <c r="J23" s="229" t="str">
        <f t="shared" si="3"/>
        <v/>
      </c>
      <c r="K23" s="229" t="str">
        <f t="shared" si="4"/>
        <v/>
      </c>
      <c r="L23" s="230" t="str">
        <f t="shared" si="5"/>
        <v/>
      </c>
    </row>
    <row r="24">
      <c r="A24" s="227" t="s">
        <v>63</v>
      </c>
      <c r="B24" s="228">
        <v>44096.0</v>
      </c>
      <c r="C24" s="228"/>
      <c r="D24" s="122" t="s">
        <v>155</v>
      </c>
      <c r="F24" s="229" t="str">
        <f t="shared" si="1"/>
        <v/>
      </c>
      <c r="H24" s="229" t="str">
        <f t="shared" si="2"/>
        <v/>
      </c>
      <c r="J24" s="229" t="str">
        <f t="shared" si="3"/>
        <v/>
      </c>
      <c r="K24" s="229" t="str">
        <f t="shared" si="4"/>
        <v/>
      </c>
      <c r="L24" s="230" t="str">
        <f t="shared" si="5"/>
        <v/>
      </c>
    </row>
    <row r="25">
      <c r="A25" s="232" t="s">
        <v>111</v>
      </c>
      <c r="B25" s="228">
        <v>44097.0</v>
      </c>
      <c r="C25" s="228"/>
      <c r="D25" s="122" t="s">
        <v>155</v>
      </c>
      <c r="F25" s="229" t="str">
        <f t="shared" si="1"/>
        <v/>
      </c>
      <c r="H25" s="229" t="str">
        <f t="shared" si="2"/>
        <v/>
      </c>
      <c r="J25" s="229" t="str">
        <f t="shared" si="3"/>
        <v/>
      </c>
      <c r="K25" s="229" t="str">
        <f t="shared" si="4"/>
        <v/>
      </c>
      <c r="L25" s="230" t="str">
        <f t="shared" si="5"/>
        <v/>
      </c>
    </row>
    <row r="26">
      <c r="A26" s="232" t="s">
        <v>106</v>
      </c>
      <c r="B26" s="228">
        <v>44098.0</v>
      </c>
      <c r="C26" s="228"/>
      <c r="D26" s="122" t="s">
        <v>155</v>
      </c>
      <c r="F26" s="229" t="str">
        <f t="shared" si="1"/>
        <v/>
      </c>
      <c r="H26" s="229" t="str">
        <f t="shared" si="2"/>
        <v/>
      </c>
      <c r="J26" s="229" t="str">
        <f t="shared" si="3"/>
        <v/>
      </c>
      <c r="K26" s="229" t="str">
        <f t="shared" si="4"/>
        <v/>
      </c>
      <c r="L26" s="230" t="str">
        <f t="shared" si="5"/>
        <v/>
      </c>
    </row>
    <row r="27">
      <c r="A27" s="232" t="s">
        <v>76</v>
      </c>
      <c r="B27" s="228">
        <v>44099.0</v>
      </c>
      <c r="C27" s="228"/>
      <c r="D27" s="122" t="s">
        <v>155</v>
      </c>
      <c r="F27" s="229" t="str">
        <f t="shared" si="1"/>
        <v/>
      </c>
      <c r="H27" s="229" t="str">
        <f t="shared" si="2"/>
        <v/>
      </c>
      <c r="J27" s="229" t="str">
        <f t="shared" si="3"/>
        <v/>
      </c>
      <c r="K27" s="229" t="str">
        <f t="shared" si="4"/>
        <v/>
      </c>
      <c r="L27" s="230" t="str">
        <f t="shared" si="5"/>
        <v/>
      </c>
    </row>
    <row r="28">
      <c r="A28" s="232" t="s">
        <v>82</v>
      </c>
      <c r="B28" s="228">
        <v>44100.0</v>
      </c>
      <c r="C28" s="228"/>
      <c r="D28" s="122" t="s">
        <v>155</v>
      </c>
      <c r="F28" s="229" t="str">
        <f t="shared" si="1"/>
        <v/>
      </c>
      <c r="H28" s="229" t="str">
        <f t="shared" si="2"/>
        <v/>
      </c>
      <c r="J28" s="229" t="str">
        <f t="shared" si="3"/>
        <v/>
      </c>
      <c r="K28" s="229" t="str">
        <f t="shared" si="4"/>
        <v/>
      </c>
      <c r="L28" s="230" t="str">
        <f t="shared" si="5"/>
        <v/>
      </c>
    </row>
    <row r="29">
      <c r="A29" s="232" t="s">
        <v>132</v>
      </c>
      <c r="B29" s="228">
        <v>44101.0</v>
      </c>
      <c r="C29" s="228"/>
      <c r="D29" s="122" t="s">
        <v>155</v>
      </c>
      <c r="F29" s="229" t="str">
        <f t="shared" si="1"/>
        <v/>
      </c>
      <c r="H29" s="229" t="str">
        <f t="shared" si="2"/>
        <v/>
      </c>
      <c r="J29" s="229" t="str">
        <f t="shared" si="3"/>
        <v/>
      </c>
      <c r="K29" s="229" t="str">
        <f t="shared" si="4"/>
        <v/>
      </c>
      <c r="L29" s="230" t="str">
        <f t="shared" si="5"/>
        <v/>
      </c>
    </row>
    <row r="30">
      <c r="A30" s="232" t="s">
        <v>89</v>
      </c>
      <c r="B30" s="228">
        <v>44102.0</v>
      </c>
      <c r="C30" s="228"/>
      <c r="D30" s="122" t="s">
        <v>155</v>
      </c>
      <c r="F30" s="229" t="str">
        <f t="shared" si="1"/>
        <v/>
      </c>
      <c r="H30" s="229" t="str">
        <f t="shared" si="2"/>
        <v/>
      </c>
      <c r="J30" s="229" t="str">
        <f t="shared" si="3"/>
        <v/>
      </c>
      <c r="K30" s="229" t="str">
        <f t="shared" si="4"/>
        <v/>
      </c>
      <c r="L30" s="230" t="str">
        <f t="shared" si="5"/>
        <v/>
      </c>
    </row>
    <row r="31">
      <c r="A31" s="232" t="s">
        <v>64</v>
      </c>
      <c r="B31" s="228">
        <v>44103.0</v>
      </c>
      <c r="C31" s="228"/>
      <c r="D31" s="122" t="s">
        <v>155</v>
      </c>
      <c r="F31" s="229" t="str">
        <f t="shared" si="1"/>
        <v/>
      </c>
      <c r="H31" s="229" t="str">
        <f t="shared" si="2"/>
        <v/>
      </c>
      <c r="J31" s="229" t="str">
        <f t="shared" si="3"/>
        <v/>
      </c>
      <c r="K31" s="229" t="str">
        <f t="shared" si="4"/>
        <v/>
      </c>
      <c r="L31" s="230" t="str">
        <f t="shared" si="5"/>
        <v/>
      </c>
    </row>
    <row r="32">
      <c r="A32" s="232" t="s">
        <v>101</v>
      </c>
      <c r="B32" s="228">
        <v>44104.0</v>
      </c>
      <c r="C32" s="228"/>
      <c r="D32" s="122" t="s">
        <v>155</v>
      </c>
      <c r="F32" s="229" t="str">
        <f t="shared" si="1"/>
        <v/>
      </c>
      <c r="H32" s="229" t="str">
        <f t="shared" si="2"/>
        <v/>
      </c>
      <c r="J32" s="229" t="str">
        <f t="shared" si="3"/>
        <v/>
      </c>
      <c r="K32" s="229" t="str">
        <f t="shared" si="4"/>
        <v/>
      </c>
      <c r="L32" s="230" t="str">
        <f t="shared" si="5"/>
        <v/>
      </c>
    </row>
    <row r="33">
      <c r="A33" s="232" t="s">
        <v>121</v>
      </c>
      <c r="B33" s="228">
        <v>44105.0</v>
      </c>
      <c r="C33" s="233">
        <v>45937.0</v>
      </c>
      <c r="D33" s="122" t="s">
        <v>256</v>
      </c>
      <c r="E33" s="122">
        <v>642.0</v>
      </c>
      <c r="F33" s="229">
        <f t="shared" si="1"/>
        <v>321</v>
      </c>
      <c r="G33" s="122">
        <v>652.0</v>
      </c>
      <c r="H33" s="229">
        <f t="shared" si="2"/>
        <v>326</v>
      </c>
      <c r="I33" s="122">
        <v>627.0</v>
      </c>
      <c r="J33" s="229">
        <f t="shared" si="3"/>
        <v>313.5</v>
      </c>
      <c r="K33" s="229">
        <f t="shared" si="4"/>
        <v>960.5</v>
      </c>
      <c r="L33" s="230" t="str">
        <f t="shared" si="5"/>
        <v/>
      </c>
    </row>
    <row r="34">
      <c r="A34" s="227" t="s">
        <v>112</v>
      </c>
      <c r="B34" s="228">
        <v>44106.0</v>
      </c>
      <c r="C34" s="228"/>
      <c r="D34" s="122" t="s">
        <v>155</v>
      </c>
      <c r="F34" s="229" t="str">
        <f t="shared" si="1"/>
        <v/>
      </c>
      <c r="H34" s="229" t="str">
        <f t="shared" si="2"/>
        <v/>
      </c>
      <c r="J34" s="229" t="str">
        <f t="shared" si="3"/>
        <v/>
      </c>
      <c r="K34" s="229" t="str">
        <f t="shared" si="4"/>
        <v/>
      </c>
      <c r="L34" s="230" t="str">
        <f t="shared" si="5"/>
        <v/>
      </c>
    </row>
    <row r="35">
      <c r="A35" s="227" t="s">
        <v>123</v>
      </c>
      <c r="B35" s="228">
        <v>44107.0</v>
      </c>
      <c r="C35" s="228"/>
      <c r="D35" s="122" t="s">
        <v>155</v>
      </c>
      <c r="F35" s="229" t="str">
        <f t="shared" si="1"/>
        <v/>
      </c>
      <c r="H35" s="229" t="str">
        <f t="shared" si="2"/>
        <v/>
      </c>
      <c r="J35" s="229" t="str">
        <f t="shared" si="3"/>
        <v/>
      </c>
      <c r="K35" s="229" t="str">
        <f t="shared" si="4"/>
        <v/>
      </c>
      <c r="L35" s="230" t="str">
        <f t="shared" si="5"/>
        <v/>
      </c>
    </row>
    <row r="36">
      <c r="A36" s="227" t="s">
        <v>127</v>
      </c>
      <c r="B36" s="228">
        <v>44108.0</v>
      </c>
      <c r="C36" s="228"/>
      <c r="D36" s="122" t="s">
        <v>155</v>
      </c>
      <c r="F36" s="229" t="str">
        <f t="shared" si="1"/>
        <v/>
      </c>
      <c r="H36" s="229" t="str">
        <f t="shared" si="2"/>
        <v/>
      </c>
      <c r="J36" s="229" t="str">
        <f t="shared" si="3"/>
        <v/>
      </c>
      <c r="K36" s="229" t="str">
        <f t="shared" si="4"/>
        <v/>
      </c>
      <c r="L36" s="230" t="str">
        <f t="shared" si="5"/>
        <v/>
      </c>
    </row>
    <row r="37">
      <c r="A37" s="227" t="s">
        <v>139</v>
      </c>
      <c r="B37" s="228">
        <v>44109.0</v>
      </c>
      <c r="C37" s="228"/>
      <c r="D37" s="122" t="s">
        <v>155</v>
      </c>
      <c r="F37" s="229" t="str">
        <f t="shared" si="1"/>
        <v/>
      </c>
      <c r="H37" s="229" t="str">
        <f t="shared" si="2"/>
        <v/>
      </c>
      <c r="J37" s="229" t="str">
        <f t="shared" si="3"/>
        <v/>
      </c>
      <c r="K37" s="229" t="str">
        <f t="shared" si="4"/>
        <v/>
      </c>
      <c r="L37" s="230" t="str">
        <f t="shared" si="5"/>
        <v/>
      </c>
    </row>
    <row r="38">
      <c r="A38" s="227" t="s">
        <v>90</v>
      </c>
      <c r="B38" s="228">
        <v>44110.0</v>
      </c>
      <c r="C38" s="228"/>
      <c r="D38" s="122" t="s">
        <v>155</v>
      </c>
      <c r="F38" s="229" t="str">
        <f t="shared" si="1"/>
        <v/>
      </c>
      <c r="H38" s="229" t="str">
        <f t="shared" si="2"/>
        <v/>
      </c>
      <c r="J38" s="229" t="str">
        <f t="shared" si="3"/>
        <v/>
      </c>
      <c r="K38" s="229" t="str">
        <f t="shared" si="4"/>
        <v/>
      </c>
      <c r="L38" s="230" t="str">
        <f t="shared" si="5"/>
        <v/>
      </c>
    </row>
    <row r="39">
      <c r="A39" s="227" t="s">
        <v>108</v>
      </c>
      <c r="B39" s="228">
        <v>44111.0</v>
      </c>
      <c r="C39" s="228"/>
      <c r="D39" s="122" t="s">
        <v>155</v>
      </c>
      <c r="F39" s="229" t="str">
        <f t="shared" si="1"/>
        <v/>
      </c>
      <c r="H39" s="229" t="str">
        <f t="shared" si="2"/>
        <v/>
      </c>
      <c r="J39" s="229" t="str">
        <f t="shared" si="3"/>
        <v/>
      </c>
      <c r="K39" s="229" t="str">
        <f t="shared" si="4"/>
        <v/>
      </c>
      <c r="L39" s="230" t="str">
        <f t="shared" si="5"/>
        <v/>
      </c>
    </row>
    <row r="40">
      <c r="A40" s="227" t="s">
        <v>67</v>
      </c>
      <c r="B40" s="228">
        <v>44112.0</v>
      </c>
      <c r="C40" s="228"/>
      <c r="D40" s="122" t="s">
        <v>155</v>
      </c>
      <c r="F40" s="229" t="str">
        <f t="shared" si="1"/>
        <v/>
      </c>
      <c r="H40" s="229" t="str">
        <f t="shared" si="2"/>
        <v/>
      </c>
      <c r="J40" s="229" t="str">
        <f t="shared" si="3"/>
        <v/>
      </c>
      <c r="K40" s="229" t="str">
        <f t="shared" si="4"/>
        <v/>
      </c>
      <c r="L40" s="230" t="str">
        <f t="shared" si="5"/>
        <v/>
      </c>
    </row>
    <row r="41">
      <c r="A41" s="227" t="s">
        <v>91</v>
      </c>
      <c r="B41" s="228">
        <v>44113.0</v>
      </c>
      <c r="C41" s="228"/>
      <c r="D41" s="122" t="s">
        <v>155</v>
      </c>
      <c r="F41" s="229" t="str">
        <f t="shared" si="1"/>
        <v/>
      </c>
      <c r="H41" s="229" t="str">
        <f t="shared" si="2"/>
        <v/>
      </c>
      <c r="J41" s="229" t="str">
        <f t="shared" si="3"/>
        <v/>
      </c>
      <c r="K41" s="229" t="str">
        <f t="shared" si="4"/>
        <v/>
      </c>
      <c r="L41" s="230" t="str">
        <f t="shared" si="5"/>
        <v/>
      </c>
    </row>
    <row r="42">
      <c r="A42" s="227" t="s">
        <v>102</v>
      </c>
      <c r="B42" s="228">
        <v>44114.0</v>
      </c>
      <c r="C42" s="228"/>
      <c r="D42" s="122" t="s">
        <v>155</v>
      </c>
      <c r="F42" s="229" t="str">
        <f t="shared" si="1"/>
        <v/>
      </c>
      <c r="H42" s="229" t="str">
        <f t="shared" si="2"/>
        <v/>
      </c>
      <c r="J42" s="229" t="str">
        <f t="shared" si="3"/>
        <v/>
      </c>
      <c r="K42" s="229" t="str">
        <f t="shared" si="4"/>
        <v/>
      </c>
      <c r="L42" s="230" t="str">
        <f t="shared" si="5"/>
        <v/>
      </c>
    </row>
    <row r="43">
      <c r="A43" s="234"/>
      <c r="B43" s="235"/>
      <c r="K43" s="229"/>
    </row>
    <row r="44">
      <c r="A44" s="234"/>
      <c r="B44" s="235"/>
      <c r="K44" s="229"/>
    </row>
    <row r="45">
      <c r="A45" s="234"/>
      <c r="B45" s="235"/>
      <c r="K45" s="229"/>
    </row>
    <row r="46">
      <c r="A46" s="234"/>
      <c r="B46" s="235"/>
      <c r="K46" s="229"/>
    </row>
    <row r="47">
      <c r="A47" s="234"/>
      <c r="B47" s="235"/>
      <c r="K47" s="229"/>
    </row>
    <row r="48">
      <c r="A48" s="122"/>
      <c r="B48" s="235"/>
      <c r="K48" s="229"/>
    </row>
    <row r="49">
      <c r="K49" s="229"/>
    </row>
    <row r="50">
      <c r="K50" s="229"/>
    </row>
    <row r="51">
      <c r="K51" s="229"/>
    </row>
    <row r="52">
      <c r="K52" s="229"/>
    </row>
    <row r="53">
      <c r="K53" s="229"/>
    </row>
    <row r="54">
      <c r="K54" s="229"/>
    </row>
    <row r="55">
      <c r="K55" s="229"/>
    </row>
    <row r="56">
      <c r="K56" s="229"/>
    </row>
    <row r="57">
      <c r="K57" s="229"/>
    </row>
    <row r="58">
      <c r="K58" s="229"/>
    </row>
    <row r="59">
      <c r="K59" s="229"/>
    </row>
    <row r="60">
      <c r="K60" s="229"/>
    </row>
    <row r="61">
      <c r="K61" s="229"/>
    </row>
    <row r="62">
      <c r="K62" s="229"/>
    </row>
    <row r="63">
      <c r="K63" s="229"/>
    </row>
    <row r="64">
      <c r="K64" s="229"/>
    </row>
    <row r="65">
      <c r="K65" s="229"/>
    </row>
    <row r="66">
      <c r="K66" s="229"/>
    </row>
    <row r="67">
      <c r="K67" s="229"/>
    </row>
    <row r="68">
      <c r="K68" s="229"/>
    </row>
    <row r="69">
      <c r="K69" s="229"/>
    </row>
    <row r="70">
      <c r="K70" s="229"/>
    </row>
    <row r="71">
      <c r="K71" s="229"/>
    </row>
    <row r="72">
      <c r="K72" s="229"/>
    </row>
    <row r="73">
      <c r="K73" s="229"/>
    </row>
    <row r="74">
      <c r="K74" s="229"/>
    </row>
    <row r="75">
      <c r="K75" s="229"/>
    </row>
    <row r="76">
      <c r="K76" s="229"/>
    </row>
    <row r="77">
      <c r="K77" s="229"/>
    </row>
    <row r="78">
      <c r="K78" s="229"/>
    </row>
    <row r="79">
      <c r="K79" s="229"/>
    </row>
    <row r="80">
      <c r="K80" s="229"/>
    </row>
    <row r="81">
      <c r="K81" s="229"/>
    </row>
    <row r="82">
      <c r="K82" s="229"/>
    </row>
    <row r="83">
      <c r="K83" s="229"/>
    </row>
    <row r="84">
      <c r="K84" s="229"/>
    </row>
    <row r="85">
      <c r="K85" s="229"/>
    </row>
    <row r="86">
      <c r="K86" s="229"/>
    </row>
    <row r="87">
      <c r="K87" s="229"/>
    </row>
    <row r="88">
      <c r="K88" s="229"/>
    </row>
    <row r="89">
      <c r="K89" s="229"/>
    </row>
    <row r="90">
      <c r="K90" s="229"/>
    </row>
    <row r="91">
      <c r="K91" s="229"/>
    </row>
    <row r="92">
      <c r="K92" s="229"/>
    </row>
    <row r="93">
      <c r="K93" s="229"/>
    </row>
    <row r="94">
      <c r="K94" s="229"/>
    </row>
    <row r="95">
      <c r="K95" s="229"/>
    </row>
    <row r="96">
      <c r="K96" s="229"/>
    </row>
    <row r="97">
      <c r="K97" s="229"/>
    </row>
    <row r="98">
      <c r="K98" s="229"/>
    </row>
    <row r="99">
      <c r="K99" s="229"/>
    </row>
    <row r="100">
      <c r="K100" s="229"/>
    </row>
    <row r="101">
      <c r="K101" s="229"/>
    </row>
    <row r="102">
      <c r="K102" s="229"/>
    </row>
    <row r="103">
      <c r="K103" s="229"/>
    </row>
    <row r="104">
      <c r="K104" s="229"/>
    </row>
    <row r="105">
      <c r="K105" s="229"/>
    </row>
    <row r="106">
      <c r="K106" s="229"/>
    </row>
    <row r="107">
      <c r="K107" s="229"/>
    </row>
    <row r="108">
      <c r="K108" s="229"/>
    </row>
    <row r="109">
      <c r="K109" s="229"/>
    </row>
    <row r="110">
      <c r="K110" s="229"/>
    </row>
    <row r="111">
      <c r="K111" s="229"/>
    </row>
    <row r="112">
      <c r="K112" s="229"/>
    </row>
    <row r="113">
      <c r="K113" s="229"/>
    </row>
    <row r="114">
      <c r="K114" s="229"/>
    </row>
    <row r="115">
      <c r="K115" s="229"/>
    </row>
    <row r="116">
      <c r="K116" s="229"/>
    </row>
    <row r="117">
      <c r="K117" s="229"/>
    </row>
    <row r="118">
      <c r="K118" s="229"/>
    </row>
    <row r="119">
      <c r="K119" s="229"/>
    </row>
    <row r="120">
      <c r="K120" s="229"/>
    </row>
    <row r="121">
      <c r="K121" s="229"/>
    </row>
    <row r="122">
      <c r="K122" s="229"/>
    </row>
    <row r="123">
      <c r="K123" s="229"/>
    </row>
    <row r="124">
      <c r="K124" s="229"/>
    </row>
    <row r="125">
      <c r="K125" s="229"/>
    </row>
    <row r="126">
      <c r="K126" s="229"/>
    </row>
    <row r="127">
      <c r="K127" s="229"/>
    </row>
    <row r="128">
      <c r="K128" s="229"/>
    </row>
    <row r="129">
      <c r="K129" s="229"/>
    </row>
    <row r="130">
      <c r="K130" s="229"/>
    </row>
    <row r="131">
      <c r="K131" s="229"/>
    </row>
    <row r="132">
      <c r="K132" s="229"/>
    </row>
    <row r="133">
      <c r="K133" s="229"/>
    </row>
    <row r="134">
      <c r="K134" s="229"/>
    </row>
    <row r="135">
      <c r="K135" s="229"/>
    </row>
    <row r="136">
      <c r="K136" s="229"/>
    </row>
    <row r="137">
      <c r="K137" s="229"/>
    </row>
    <row r="138">
      <c r="K138" s="229"/>
    </row>
    <row r="139">
      <c r="K139" s="229"/>
    </row>
    <row r="140">
      <c r="K140" s="229"/>
    </row>
    <row r="141">
      <c r="K141" s="229"/>
    </row>
    <row r="142">
      <c r="K142" s="229"/>
    </row>
    <row r="143">
      <c r="K143" s="229"/>
    </row>
    <row r="144">
      <c r="K144" s="229"/>
    </row>
    <row r="145">
      <c r="K145" s="229"/>
    </row>
    <row r="146">
      <c r="K146" s="229"/>
    </row>
    <row r="147">
      <c r="K147" s="229"/>
    </row>
    <row r="148">
      <c r="K148" s="229"/>
    </row>
    <row r="149">
      <c r="K149" s="229"/>
    </row>
    <row r="150">
      <c r="K150" s="229"/>
    </row>
    <row r="151">
      <c r="K151" s="229"/>
    </row>
    <row r="152">
      <c r="K152" s="229"/>
    </row>
    <row r="153">
      <c r="K153" s="229"/>
    </row>
    <row r="154">
      <c r="K154" s="229"/>
    </row>
    <row r="155">
      <c r="K155" s="229"/>
    </row>
    <row r="156">
      <c r="K156" s="229"/>
    </row>
    <row r="157">
      <c r="K157" s="229"/>
    </row>
    <row r="158">
      <c r="K158" s="229"/>
    </row>
    <row r="159">
      <c r="K159" s="229"/>
    </row>
    <row r="160">
      <c r="K160" s="229"/>
    </row>
    <row r="161">
      <c r="K161" s="229"/>
    </row>
    <row r="162">
      <c r="K162" s="229"/>
    </row>
    <row r="163">
      <c r="K163" s="229"/>
    </row>
    <row r="164">
      <c r="K164" s="229"/>
    </row>
    <row r="165">
      <c r="K165" s="229"/>
    </row>
    <row r="166">
      <c r="K166" s="229"/>
    </row>
    <row r="167">
      <c r="K167" s="229"/>
    </row>
    <row r="168">
      <c r="K168" s="229"/>
    </row>
    <row r="169">
      <c r="K169" s="229"/>
    </row>
    <row r="170">
      <c r="K170" s="229"/>
    </row>
    <row r="171">
      <c r="K171" s="229"/>
    </row>
    <row r="172">
      <c r="K172" s="229"/>
    </row>
    <row r="173">
      <c r="K173" s="229"/>
    </row>
    <row r="174">
      <c r="K174" s="229"/>
    </row>
    <row r="175">
      <c r="K175" s="229"/>
    </row>
    <row r="176">
      <c r="K176" s="229"/>
    </row>
    <row r="177">
      <c r="K177" s="229"/>
    </row>
    <row r="178">
      <c r="K178" s="229"/>
    </row>
    <row r="179">
      <c r="K179" s="229"/>
    </row>
    <row r="180">
      <c r="K180" s="229"/>
    </row>
    <row r="181">
      <c r="K181" s="229"/>
    </row>
    <row r="182">
      <c r="K182" s="229"/>
    </row>
    <row r="183">
      <c r="K183" s="229"/>
    </row>
    <row r="184">
      <c r="K184" s="229"/>
    </row>
    <row r="185">
      <c r="K185" s="229"/>
    </row>
    <row r="186">
      <c r="K186" s="229"/>
    </row>
    <row r="187">
      <c r="K187" s="229"/>
    </row>
    <row r="188">
      <c r="K188" s="229"/>
    </row>
    <row r="189">
      <c r="K189" s="229"/>
    </row>
    <row r="190">
      <c r="K190" s="229"/>
    </row>
    <row r="191">
      <c r="K191" s="229"/>
    </row>
    <row r="192">
      <c r="K192" s="229"/>
    </row>
    <row r="193">
      <c r="K193" s="229"/>
    </row>
    <row r="194">
      <c r="K194" s="229"/>
    </row>
    <row r="195">
      <c r="K195" s="229"/>
    </row>
    <row r="196">
      <c r="K196" s="229"/>
    </row>
    <row r="197">
      <c r="K197" s="229"/>
    </row>
    <row r="198">
      <c r="K198" s="229"/>
    </row>
    <row r="199">
      <c r="K199" s="229"/>
    </row>
    <row r="200">
      <c r="K200" s="229"/>
    </row>
    <row r="201">
      <c r="K201" s="229"/>
    </row>
    <row r="202">
      <c r="K202" s="229"/>
    </row>
    <row r="203">
      <c r="K203" s="229"/>
    </row>
    <row r="204">
      <c r="K204" s="229"/>
    </row>
    <row r="205">
      <c r="K205" s="229"/>
    </row>
    <row r="206">
      <c r="K206" s="229"/>
    </row>
    <row r="207">
      <c r="K207" s="229"/>
    </row>
    <row r="208">
      <c r="K208" s="229"/>
    </row>
    <row r="209">
      <c r="K209" s="229"/>
    </row>
    <row r="210">
      <c r="K210" s="229"/>
    </row>
    <row r="211">
      <c r="K211" s="229"/>
    </row>
    <row r="212">
      <c r="K212" s="229"/>
    </row>
    <row r="213">
      <c r="K213" s="229"/>
    </row>
    <row r="214">
      <c r="K214" s="229"/>
    </row>
    <row r="215">
      <c r="K215" s="229"/>
    </row>
    <row r="216">
      <c r="K216" s="229"/>
    </row>
    <row r="217">
      <c r="K217" s="229"/>
    </row>
    <row r="218">
      <c r="K218" s="229"/>
    </row>
    <row r="219">
      <c r="K219" s="229"/>
    </row>
    <row r="220">
      <c r="K220" s="229"/>
    </row>
    <row r="221">
      <c r="K221" s="229"/>
    </row>
    <row r="222">
      <c r="K222" s="229"/>
    </row>
    <row r="223">
      <c r="K223" s="229"/>
    </row>
    <row r="224">
      <c r="K224" s="229"/>
    </row>
    <row r="225">
      <c r="K225" s="229"/>
    </row>
    <row r="226">
      <c r="K226" s="229"/>
    </row>
    <row r="227">
      <c r="K227" s="229"/>
    </row>
    <row r="228">
      <c r="K228" s="229"/>
    </row>
    <row r="229">
      <c r="K229" s="229"/>
    </row>
    <row r="230">
      <c r="K230" s="229"/>
    </row>
    <row r="231">
      <c r="K231" s="229"/>
    </row>
    <row r="232">
      <c r="K232" s="229"/>
    </row>
    <row r="233">
      <c r="K233" s="229"/>
    </row>
    <row r="234">
      <c r="K234" s="229"/>
    </row>
    <row r="235">
      <c r="K235" s="229"/>
    </row>
    <row r="236">
      <c r="K236" s="229"/>
    </row>
    <row r="237">
      <c r="K237" s="229"/>
    </row>
    <row r="238">
      <c r="K238" s="229"/>
    </row>
    <row r="239">
      <c r="K239" s="229"/>
    </row>
    <row r="240">
      <c r="K240" s="229"/>
    </row>
    <row r="241">
      <c r="K241" s="229"/>
    </row>
    <row r="242">
      <c r="K242" s="229"/>
    </row>
    <row r="243">
      <c r="K243" s="229"/>
    </row>
    <row r="244">
      <c r="K244" s="229"/>
    </row>
    <row r="245">
      <c r="K245" s="229"/>
    </row>
    <row r="246">
      <c r="K246" s="229"/>
    </row>
    <row r="247">
      <c r="K247" s="229"/>
    </row>
    <row r="248">
      <c r="K248" s="229"/>
    </row>
    <row r="249">
      <c r="K249" s="229"/>
    </row>
    <row r="250">
      <c r="K250" s="229"/>
    </row>
    <row r="251">
      <c r="K251" s="229"/>
    </row>
    <row r="252">
      <c r="K252" s="229"/>
    </row>
    <row r="253">
      <c r="K253" s="229"/>
    </row>
    <row r="254">
      <c r="K254" s="229"/>
    </row>
    <row r="255">
      <c r="K255" s="229"/>
    </row>
    <row r="256">
      <c r="K256" s="229"/>
    </row>
    <row r="257">
      <c r="K257" s="229"/>
    </row>
    <row r="258">
      <c r="K258" s="229"/>
    </row>
    <row r="259">
      <c r="K259" s="229"/>
    </row>
    <row r="260">
      <c r="K260" s="229"/>
    </row>
    <row r="261">
      <c r="K261" s="229"/>
    </row>
    <row r="262">
      <c r="K262" s="229"/>
    </row>
    <row r="263">
      <c r="K263" s="229"/>
    </row>
    <row r="264">
      <c r="K264" s="229"/>
    </row>
    <row r="265">
      <c r="K265" s="229"/>
    </row>
    <row r="266">
      <c r="K266" s="229"/>
    </row>
    <row r="267">
      <c r="K267" s="229"/>
    </row>
    <row r="268">
      <c r="K268" s="229"/>
    </row>
    <row r="269">
      <c r="K269" s="229"/>
    </row>
    <row r="270">
      <c r="K270" s="229"/>
    </row>
    <row r="271">
      <c r="K271" s="229"/>
    </row>
    <row r="272">
      <c r="K272" s="229"/>
    </row>
    <row r="273">
      <c r="K273" s="229"/>
    </row>
    <row r="274">
      <c r="K274" s="229"/>
    </row>
    <row r="275">
      <c r="K275" s="229"/>
    </row>
    <row r="276">
      <c r="K276" s="229"/>
    </row>
    <row r="277">
      <c r="K277" s="229"/>
    </row>
    <row r="278">
      <c r="K278" s="229"/>
    </row>
    <row r="279">
      <c r="K279" s="229"/>
    </row>
    <row r="280">
      <c r="K280" s="229"/>
    </row>
    <row r="281">
      <c r="K281" s="229"/>
    </row>
    <row r="282">
      <c r="K282" s="229"/>
    </row>
    <row r="283">
      <c r="K283" s="229"/>
    </row>
    <row r="284">
      <c r="K284" s="229"/>
    </row>
    <row r="285">
      <c r="K285" s="229"/>
    </row>
    <row r="286">
      <c r="K286" s="229"/>
    </row>
    <row r="287">
      <c r="K287" s="229"/>
    </row>
    <row r="288">
      <c r="K288" s="229"/>
    </row>
    <row r="289">
      <c r="K289" s="229"/>
    </row>
    <row r="290">
      <c r="K290" s="229"/>
    </row>
    <row r="291">
      <c r="K291" s="229"/>
    </row>
    <row r="292">
      <c r="K292" s="229"/>
    </row>
    <row r="293">
      <c r="K293" s="229"/>
    </row>
    <row r="294">
      <c r="K294" s="229"/>
    </row>
    <row r="295">
      <c r="K295" s="229"/>
    </row>
    <row r="296">
      <c r="K296" s="229"/>
    </row>
    <row r="297">
      <c r="K297" s="229"/>
    </row>
    <row r="298">
      <c r="K298" s="229"/>
    </row>
    <row r="299">
      <c r="K299" s="229"/>
    </row>
    <row r="300">
      <c r="K300" s="229"/>
    </row>
    <row r="301">
      <c r="K301" s="229"/>
    </row>
    <row r="302">
      <c r="K302" s="229"/>
    </row>
    <row r="303">
      <c r="K303" s="229"/>
    </row>
    <row r="304">
      <c r="K304" s="229"/>
    </row>
    <row r="305">
      <c r="K305" s="229"/>
    </row>
    <row r="306">
      <c r="K306" s="229"/>
    </row>
    <row r="307">
      <c r="K307" s="229"/>
    </row>
    <row r="308">
      <c r="K308" s="229"/>
    </row>
    <row r="309">
      <c r="K309" s="229"/>
    </row>
    <row r="310">
      <c r="K310" s="229"/>
    </row>
    <row r="311">
      <c r="K311" s="229"/>
    </row>
    <row r="312">
      <c r="K312" s="229"/>
    </row>
    <row r="313">
      <c r="K313" s="229"/>
    </row>
    <row r="314">
      <c r="K314" s="229"/>
    </row>
    <row r="315">
      <c r="K315" s="229"/>
    </row>
    <row r="316">
      <c r="K316" s="229"/>
    </row>
    <row r="317">
      <c r="K317" s="229"/>
    </row>
    <row r="318">
      <c r="K318" s="229"/>
    </row>
    <row r="319">
      <c r="K319" s="229"/>
    </row>
    <row r="320">
      <c r="K320" s="229"/>
    </row>
    <row r="321">
      <c r="K321" s="229"/>
    </row>
    <row r="322">
      <c r="K322" s="229"/>
    </row>
    <row r="323">
      <c r="K323" s="229"/>
    </row>
    <row r="324">
      <c r="K324" s="229"/>
    </row>
    <row r="325">
      <c r="K325" s="229"/>
    </row>
    <row r="326">
      <c r="K326" s="229"/>
    </row>
    <row r="327">
      <c r="K327" s="229"/>
    </row>
    <row r="328">
      <c r="K328" s="229"/>
    </row>
    <row r="329">
      <c r="K329" s="229"/>
    </row>
    <row r="330">
      <c r="K330" s="229"/>
    </row>
    <row r="331">
      <c r="K331" s="229"/>
    </row>
    <row r="332">
      <c r="K332" s="229"/>
    </row>
    <row r="333">
      <c r="K333" s="229"/>
    </row>
    <row r="334">
      <c r="K334" s="229"/>
    </row>
    <row r="335">
      <c r="K335" s="229"/>
    </row>
    <row r="336">
      <c r="K336" s="229"/>
    </row>
    <row r="337">
      <c r="K337" s="229"/>
    </row>
    <row r="338">
      <c r="K338" s="229"/>
    </row>
    <row r="339">
      <c r="K339" s="229"/>
    </row>
    <row r="340">
      <c r="K340" s="229"/>
    </row>
    <row r="341">
      <c r="K341" s="229"/>
    </row>
    <row r="342">
      <c r="K342" s="229"/>
    </row>
    <row r="343">
      <c r="K343" s="229"/>
    </row>
    <row r="344">
      <c r="K344" s="229"/>
    </row>
    <row r="345">
      <c r="K345" s="229"/>
    </row>
    <row r="346">
      <c r="K346" s="229"/>
    </row>
    <row r="347">
      <c r="K347" s="229"/>
    </row>
    <row r="348">
      <c r="K348" s="229"/>
    </row>
    <row r="349">
      <c r="K349" s="229"/>
    </row>
    <row r="350">
      <c r="K350" s="229"/>
    </row>
    <row r="351">
      <c r="K351" s="229"/>
    </row>
    <row r="352">
      <c r="K352" s="229"/>
    </row>
    <row r="353">
      <c r="K353" s="229"/>
    </row>
    <row r="354">
      <c r="K354" s="229"/>
    </row>
    <row r="355">
      <c r="K355" s="229"/>
    </row>
    <row r="356">
      <c r="K356" s="229"/>
    </row>
    <row r="357">
      <c r="K357" s="229"/>
    </row>
    <row r="358">
      <c r="K358" s="229"/>
    </row>
    <row r="359">
      <c r="K359" s="229"/>
    </row>
    <row r="360">
      <c r="K360" s="229"/>
    </row>
    <row r="361">
      <c r="K361" s="229"/>
    </row>
    <row r="362">
      <c r="K362" s="229"/>
    </row>
    <row r="363">
      <c r="K363" s="229"/>
    </row>
    <row r="364">
      <c r="K364" s="229"/>
    </row>
    <row r="365">
      <c r="K365" s="229"/>
    </row>
    <row r="366">
      <c r="K366" s="229"/>
    </row>
    <row r="367">
      <c r="K367" s="229"/>
    </row>
    <row r="368">
      <c r="K368" s="229"/>
    </row>
    <row r="369">
      <c r="K369" s="229"/>
    </row>
    <row r="370">
      <c r="K370" s="229"/>
    </row>
    <row r="371">
      <c r="K371" s="229"/>
    </row>
    <row r="372">
      <c r="K372" s="229"/>
    </row>
    <row r="373">
      <c r="K373" s="229"/>
    </row>
    <row r="374">
      <c r="K374" s="229"/>
    </row>
    <row r="375">
      <c r="K375" s="229"/>
    </row>
    <row r="376">
      <c r="K376" s="229"/>
    </row>
    <row r="377">
      <c r="K377" s="229"/>
    </row>
    <row r="378">
      <c r="K378" s="229"/>
    </row>
    <row r="379">
      <c r="K379" s="229"/>
    </row>
    <row r="380">
      <c r="K380" s="229"/>
    </row>
    <row r="381">
      <c r="K381" s="229"/>
    </row>
    <row r="382">
      <c r="K382" s="229"/>
    </row>
    <row r="383">
      <c r="K383" s="229"/>
    </row>
    <row r="384">
      <c r="K384" s="229"/>
    </row>
    <row r="385">
      <c r="K385" s="229"/>
    </row>
    <row r="386">
      <c r="K386" s="229"/>
    </row>
    <row r="387">
      <c r="K387" s="229"/>
    </row>
    <row r="388">
      <c r="K388" s="229"/>
    </row>
    <row r="389">
      <c r="K389" s="229"/>
    </row>
    <row r="390">
      <c r="K390" s="229"/>
    </row>
    <row r="391">
      <c r="K391" s="229"/>
    </row>
    <row r="392">
      <c r="K392" s="229"/>
    </row>
    <row r="393">
      <c r="K393" s="229"/>
    </row>
    <row r="394">
      <c r="K394" s="229"/>
    </row>
    <row r="395">
      <c r="K395" s="229"/>
    </row>
    <row r="396">
      <c r="K396" s="229"/>
    </row>
    <row r="397">
      <c r="K397" s="229"/>
    </row>
    <row r="398">
      <c r="K398" s="229"/>
    </row>
    <row r="399">
      <c r="K399" s="229"/>
    </row>
    <row r="400">
      <c r="K400" s="229"/>
    </row>
    <row r="401">
      <c r="K401" s="229"/>
    </row>
    <row r="402">
      <c r="K402" s="229"/>
    </row>
    <row r="403">
      <c r="K403" s="229"/>
    </row>
    <row r="404">
      <c r="K404" s="229"/>
    </row>
    <row r="405">
      <c r="K405" s="229"/>
    </row>
    <row r="406">
      <c r="K406" s="229"/>
    </row>
    <row r="407">
      <c r="K407" s="229"/>
    </row>
    <row r="408">
      <c r="K408" s="229"/>
    </row>
    <row r="409">
      <c r="K409" s="229"/>
    </row>
    <row r="410">
      <c r="K410" s="229"/>
    </row>
    <row r="411">
      <c r="K411" s="229"/>
    </row>
    <row r="412">
      <c r="K412" s="229"/>
    </row>
    <row r="413">
      <c r="K413" s="229"/>
    </row>
    <row r="414">
      <c r="K414" s="229"/>
    </row>
    <row r="415">
      <c r="K415" s="229"/>
    </row>
    <row r="416">
      <c r="K416" s="229"/>
    </row>
    <row r="417">
      <c r="K417" s="229"/>
    </row>
    <row r="418">
      <c r="K418" s="229"/>
    </row>
    <row r="419">
      <c r="K419" s="229"/>
    </row>
    <row r="420">
      <c r="K420" s="229"/>
    </row>
    <row r="421">
      <c r="K421" s="229"/>
    </row>
    <row r="422">
      <c r="K422" s="229"/>
    </row>
    <row r="423">
      <c r="K423" s="229"/>
    </row>
    <row r="424">
      <c r="K424" s="229"/>
    </row>
    <row r="425">
      <c r="K425" s="229"/>
    </row>
    <row r="426">
      <c r="K426" s="229"/>
    </row>
    <row r="427">
      <c r="K427" s="229"/>
    </row>
    <row r="428">
      <c r="K428" s="229"/>
    </row>
    <row r="429">
      <c r="K429" s="229"/>
    </row>
    <row r="430">
      <c r="K430" s="229"/>
    </row>
    <row r="431">
      <c r="K431" s="229"/>
    </row>
    <row r="432">
      <c r="K432" s="229"/>
    </row>
    <row r="433">
      <c r="K433" s="229"/>
    </row>
    <row r="434">
      <c r="K434" s="229"/>
    </row>
    <row r="435">
      <c r="K435" s="229"/>
    </row>
    <row r="436">
      <c r="K436" s="229"/>
    </row>
    <row r="437">
      <c r="K437" s="229"/>
    </row>
    <row r="438">
      <c r="K438" s="229"/>
    </row>
    <row r="439">
      <c r="K439" s="229"/>
    </row>
    <row r="440">
      <c r="K440" s="229"/>
    </row>
    <row r="441">
      <c r="K441" s="229"/>
    </row>
    <row r="442">
      <c r="K442" s="229"/>
    </row>
    <row r="443">
      <c r="K443" s="229"/>
    </row>
    <row r="444">
      <c r="K444" s="229"/>
    </row>
    <row r="445">
      <c r="K445" s="229"/>
    </row>
    <row r="446">
      <c r="K446" s="229"/>
    </row>
    <row r="447">
      <c r="K447" s="229"/>
    </row>
    <row r="448">
      <c r="K448" s="229"/>
    </row>
    <row r="449">
      <c r="K449" s="229"/>
    </row>
    <row r="450">
      <c r="K450" s="229"/>
    </row>
    <row r="451">
      <c r="K451" s="229"/>
    </row>
    <row r="452">
      <c r="K452" s="229"/>
    </row>
    <row r="453">
      <c r="K453" s="229"/>
    </row>
    <row r="454">
      <c r="K454" s="229"/>
    </row>
    <row r="455">
      <c r="K455" s="229"/>
    </row>
    <row r="456">
      <c r="K456" s="229"/>
    </row>
    <row r="457">
      <c r="K457" s="229"/>
    </row>
    <row r="458">
      <c r="K458" s="229"/>
    </row>
    <row r="459">
      <c r="K459" s="229"/>
    </row>
    <row r="460">
      <c r="K460" s="229"/>
    </row>
    <row r="461">
      <c r="K461" s="229"/>
    </row>
    <row r="462">
      <c r="K462" s="229"/>
    </row>
    <row r="463">
      <c r="K463" s="229"/>
    </row>
    <row r="464">
      <c r="K464" s="229"/>
    </row>
    <row r="465">
      <c r="K465" s="229"/>
    </row>
    <row r="466">
      <c r="K466" s="229"/>
    </row>
    <row r="467">
      <c r="K467" s="229"/>
    </row>
    <row r="468">
      <c r="K468" s="229"/>
    </row>
    <row r="469">
      <c r="K469" s="229"/>
    </row>
    <row r="470">
      <c r="K470" s="229"/>
    </row>
    <row r="471">
      <c r="K471" s="229"/>
    </row>
    <row r="472">
      <c r="K472" s="229"/>
    </row>
    <row r="473">
      <c r="K473" s="229"/>
    </row>
    <row r="474">
      <c r="K474" s="229"/>
    </row>
    <row r="475">
      <c r="K475" s="229"/>
    </row>
    <row r="476">
      <c r="K476" s="229"/>
    </row>
    <row r="477">
      <c r="K477" s="229"/>
    </row>
    <row r="478">
      <c r="K478" s="229"/>
    </row>
    <row r="479">
      <c r="K479" s="229"/>
    </row>
    <row r="480">
      <c r="K480" s="229"/>
    </row>
    <row r="481">
      <c r="K481" s="229"/>
    </row>
    <row r="482">
      <c r="K482" s="229"/>
    </row>
    <row r="483">
      <c r="K483" s="229"/>
    </row>
    <row r="484">
      <c r="K484" s="229"/>
    </row>
    <row r="485">
      <c r="K485" s="229"/>
    </row>
    <row r="486">
      <c r="K486" s="229"/>
    </row>
    <row r="487">
      <c r="K487" s="229"/>
    </row>
    <row r="488">
      <c r="K488" s="229"/>
    </row>
    <row r="489">
      <c r="K489" s="229"/>
    </row>
    <row r="490">
      <c r="K490" s="229"/>
    </row>
    <row r="491">
      <c r="K491" s="229"/>
    </row>
    <row r="492">
      <c r="K492" s="229"/>
    </row>
    <row r="493">
      <c r="K493" s="229"/>
    </row>
    <row r="494">
      <c r="K494" s="229"/>
    </row>
    <row r="495">
      <c r="K495" s="229"/>
    </row>
    <row r="496">
      <c r="K496" s="229"/>
    </row>
    <row r="497">
      <c r="K497" s="229"/>
    </row>
    <row r="498">
      <c r="K498" s="229"/>
    </row>
    <row r="499">
      <c r="K499" s="229"/>
    </row>
    <row r="500">
      <c r="K500" s="229"/>
    </row>
    <row r="501">
      <c r="K501" s="229"/>
    </row>
    <row r="502">
      <c r="K502" s="229"/>
    </row>
    <row r="503">
      <c r="K503" s="229"/>
    </row>
    <row r="504">
      <c r="K504" s="229"/>
    </row>
    <row r="505">
      <c r="K505" s="229"/>
    </row>
    <row r="506">
      <c r="K506" s="229"/>
    </row>
    <row r="507">
      <c r="K507" s="229"/>
    </row>
    <row r="508">
      <c r="K508" s="229"/>
    </row>
    <row r="509">
      <c r="K509" s="229"/>
    </row>
    <row r="510">
      <c r="K510" s="229"/>
    </row>
    <row r="511">
      <c r="K511" s="229"/>
    </row>
    <row r="512">
      <c r="K512" s="229"/>
    </row>
    <row r="513">
      <c r="K513" s="229"/>
    </row>
    <row r="514">
      <c r="K514" s="229"/>
    </row>
    <row r="515">
      <c r="K515" s="229"/>
    </row>
    <row r="516">
      <c r="K516" s="229"/>
    </row>
    <row r="517">
      <c r="K517" s="229"/>
    </row>
    <row r="518">
      <c r="K518" s="229"/>
    </row>
    <row r="519">
      <c r="K519" s="229"/>
    </row>
    <row r="520">
      <c r="K520" s="229"/>
    </row>
    <row r="521">
      <c r="K521" s="229"/>
    </row>
    <row r="522">
      <c r="K522" s="229"/>
    </row>
    <row r="523">
      <c r="K523" s="229"/>
    </row>
    <row r="524">
      <c r="K524" s="229"/>
    </row>
    <row r="525">
      <c r="K525" s="229"/>
    </row>
    <row r="526">
      <c r="K526" s="229"/>
    </row>
    <row r="527">
      <c r="K527" s="229"/>
    </row>
    <row r="528">
      <c r="K528" s="229"/>
    </row>
    <row r="529">
      <c r="K529" s="229"/>
    </row>
    <row r="530">
      <c r="K530" s="229"/>
    </row>
    <row r="531">
      <c r="K531" s="229"/>
    </row>
    <row r="532">
      <c r="K532" s="229"/>
    </row>
    <row r="533">
      <c r="K533" s="229"/>
    </row>
    <row r="534">
      <c r="K534" s="229"/>
    </row>
    <row r="535">
      <c r="K535" s="229"/>
    </row>
    <row r="536">
      <c r="K536" s="229"/>
    </row>
    <row r="537">
      <c r="K537" s="229"/>
    </row>
    <row r="538">
      <c r="K538" s="229"/>
    </row>
    <row r="539">
      <c r="K539" s="229"/>
    </row>
    <row r="540">
      <c r="K540" s="229"/>
    </row>
    <row r="541">
      <c r="K541" s="229"/>
    </row>
    <row r="542">
      <c r="K542" s="229"/>
    </row>
    <row r="543">
      <c r="K543" s="229"/>
    </row>
    <row r="544">
      <c r="K544" s="229"/>
    </row>
    <row r="545">
      <c r="K545" s="229"/>
    </row>
    <row r="546">
      <c r="K546" s="229"/>
    </row>
    <row r="547">
      <c r="K547" s="229"/>
    </row>
    <row r="548">
      <c r="K548" s="229"/>
    </row>
    <row r="549">
      <c r="K549" s="229"/>
    </row>
    <row r="550">
      <c r="K550" s="229"/>
    </row>
    <row r="551">
      <c r="K551" s="229"/>
    </row>
    <row r="552">
      <c r="K552" s="229"/>
    </row>
    <row r="553">
      <c r="K553" s="229"/>
    </row>
    <row r="554">
      <c r="K554" s="229"/>
    </row>
    <row r="555">
      <c r="K555" s="229"/>
    </row>
    <row r="556">
      <c r="K556" s="229"/>
    </row>
    <row r="557">
      <c r="K557" s="229"/>
    </row>
    <row r="558">
      <c r="K558" s="229"/>
    </row>
    <row r="559">
      <c r="K559" s="229"/>
    </row>
    <row r="560">
      <c r="K560" s="229"/>
    </row>
    <row r="561">
      <c r="K561" s="229"/>
    </row>
    <row r="562">
      <c r="K562" s="229"/>
    </row>
    <row r="563">
      <c r="K563" s="229"/>
    </row>
    <row r="564">
      <c r="K564" s="229"/>
    </row>
    <row r="565">
      <c r="K565" s="229"/>
    </row>
    <row r="566">
      <c r="K566" s="229"/>
    </row>
    <row r="567">
      <c r="K567" s="229"/>
    </row>
    <row r="568">
      <c r="K568" s="229"/>
    </row>
    <row r="569">
      <c r="K569" s="229"/>
    </row>
    <row r="570">
      <c r="K570" s="229"/>
    </row>
    <row r="571">
      <c r="K571" s="229"/>
    </row>
    <row r="572">
      <c r="K572" s="229"/>
    </row>
    <row r="573">
      <c r="K573" s="229"/>
    </row>
    <row r="574">
      <c r="K574" s="229"/>
    </row>
    <row r="575">
      <c r="K575" s="229"/>
    </row>
    <row r="576">
      <c r="K576" s="229"/>
    </row>
    <row r="577">
      <c r="K577" s="229"/>
    </row>
    <row r="578">
      <c r="K578" s="229"/>
    </row>
    <row r="579">
      <c r="K579" s="229"/>
    </row>
    <row r="580">
      <c r="K580" s="229"/>
    </row>
    <row r="581">
      <c r="K581" s="229"/>
    </row>
    <row r="582">
      <c r="K582" s="229"/>
    </row>
    <row r="583">
      <c r="K583" s="229"/>
    </row>
    <row r="584">
      <c r="K584" s="229"/>
    </row>
    <row r="585">
      <c r="K585" s="229"/>
    </row>
    <row r="586">
      <c r="K586" s="229"/>
    </row>
    <row r="587">
      <c r="K587" s="229"/>
    </row>
    <row r="588">
      <c r="K588" s="229"/>
    </row>
    <row r="589">
      <c r="K589" s="229"/>
    </row>
    <row r="590">
      <c r="K590" s="229"/>
    </row>
    <row r="591">
      <c r="K591" s="229"/>
    </row>
    <row r="592">
      <c r="K592" s="229"/>
    </row>
    <row r="593">
      <c r="K593" s="229"/>
    </row>
    <row r="594">
      <c r="K594" s="229"/>
    </row>
    <row r="595">
      <c r="K595" s="229"/>
    </row>
    <row r="596">
      <c r="K596" s="229"/>
    </row>
    <row r="597">
      <c r="K597" s="229"/>
    </row>
    <row r="598">
      <c r="K598" s="229"/>
    </row>
    <row r="599">
      <c r="K599" s="229"/>
    </row>
    <row r="600">
      <c r="K600" s="229"/>
    </row>
    <row r="601">
      <c r="K601" s="229"/>
    </row>
    <row r="602">
      <c r="K602" s="229"/>
    </row>
    <row r="603">
      <c r="K603" s="229"/>
    </row>
    <row r="604">
      <c r="K604" s="229"/>
    </row>
    <row r="605">
      <c r="K605" s="229"/>
    </row>
    <row r="606">
      <c r="K606" s="229"/>
    </row>
    <row r="607">
      <c r="K607" s="229"/>
    </row>
    <row r="608">
      <c r="K608" s="229"/>
    </row>
    <row r="609">
      <c r="K609" s="229"/>
    </row>
    <row r="610">
      <c r="K610" s="229"/>
    </row>
    <row r="611">
      <c r="K611" s="229"/>
    </row>
    <row r="612">
      <c r="K612" s="229"/>
    </row>
    <row r="613">
      <c r="K613" s="229"/>
    </row>
    <row r="614">
      <c r="K614" s="229"/>
    </row>
    <row r="615">
      <c r="K615" s="229"/>
    </row>
    <row r="616">
      <c r="K616" s="229"/>
    </row>
    <row r="617">
      <c r="K617" s="229"/>
    </row>
    <row r="618">
      <c r="K618" s="229"/>
    </row>
    <row r="619">
      <c r="K619" s="229"/>
    </row>
    <row r="620">
      <c r="K620" s="229"/>
    </row>
    <row r="621">
      <c r="K621" s="229"/>
    </row>
    <row r="622">
      <c r="K622" s="229"/>
    </row>
    <row r="623">
      <c r="K623" s="229"/>
    </row>
    <row r="624">
      <c r="K624" s="229"/>
    </row>
    <row r="625">
      <c r="K625" s="229"/>
    </row>
    <row r="626">
      <c r="K626" s="229"/>
    </row>
    <row r="627">
      <c r="K627" s="229"/>
    </row>
    <row r="628">
      <c r="K628" s="229"/>
    </row>
    <row r="629">
      <c r="K629" s="229"/>
    </row>
    <row r="630">
      <c r="K630" s="229"/>
    </row>
    <row r="631">
      <c r="K631" s="229"/>
    </row>
    <row r="632">
      <c r="K632" s="229"/>
    </row>
    <row r="633">
      <c r="K633" s="229"/>
    </row>
    <row r="634">
      <c r="K634" s="229"/>
    </row>
    <row r="635">
      <c r="K635" s="229"/>
    </row>
    <row r="636">
      <c r="K636" s="229"/>
    </row>
    <row r="637">
      <c r="K637" s="229"/>
    </row>
    <row r="638">
      <c r="K638" s="229"/>
    </row>
    <row r="639">
      <c r="K639" s="229"/>
    </row>
    <row r="640">
      <c r="K640" s="229"/>
    </row>
    <row r="641">
      <c r="K641" s="229"/>
    </row>
    <row r="642">
      <c r="K642" s="229"/>
    </row>
    <row r="643">
      <c r="K643" s="229"/>
    </row>
    <row r="644">
      <c r="K644" s="229"/>
    </row>
    <row r="645">
      <c r="K645" s="229"/>
    </row>
    <row r="646">
      <c r="K646" s="229"/>
    </row>
    <row r="647">
      <c r="K647" s="229"/>
    </row>
    <row r="648">
      <c r="K648" s="229"/>
    </row>
    <row r="649">
      <c r="K649" s="229"/>
    </row>
    <row r="650">
      <c r="K650" s="229"/>
    </row>
    <row r="651">
      <c r="K651" s="229"/>
    </row>
    <row r="652">
      <c r="K652" s="229"/>
    </row>
    <row r="653">
      <c r="K653" s="229"/>
    </row>
    <row r="654">
      <c r="K654" s="229"/>
    </row>
    <row r="655">
      <c r="K655" s="229"/>
    </row>
    <row r="656">
      <c r="K656" s="229"/>
    </row>
    <row r="657">
      <c r="K657" s="229"/>
    </row>
    <row r="658">
      <c r="K658" s="229"/>
    </row>
    <row r="659">
      <c r="K659" s="229"/>
    </row>
    <row r="660">
      <c r="K660" s="229"/>
    </row>
    <row r="661">
      <c r="K661" s="229"/>
    </row>
    <row r="662">
      <c r="K662" s="229"/>
    </row>
    <row r="663">
      <c r="K663" s="229"/>
    </row>
    <row r="664">
      <c r="K664" s="229"/>
    </row>
    <row r="665">
      <c r="K665" s="229"/>
    </row>
    <row r="666">
      <c r="K666" s="229"/>
    </row>
    <row r="667">
      <c r="K667" s="229"/>
    </row>
    <row r="668">
      <c r="K668" s="229"/>
    </row>
    <row r="669">
      <c r="K669" s="229"/>
    </row>
    <row r="670">
      <c r="K670" s="229"/>
    </row>
    <row r="671">
      <c r="K671" s="229"/>
    </row>
    <row r="672">
      <c r="K672" s="229"/>
    </row>
    <row r="673">
      <c r="K673" s="229"/>
    </row>
    <row r="674">
      <c r="K674" s="229"/>
    </row>
    <row r="675">
      <c r="K675" s="229"/>
    </row>
    <row r="676">
      <c r="K676" s="229"/>
    </row>
    <row r="677">
      <c r="K677" s="229"/>
    </row>
    <row r="678">
      <c r="K678" s="229"/>
    </row>
    <row r="679">
      <c r="K679" s="229"/>
    </row>
    <row r="680">
      <c r="K680" s="229"/>
    </row>
    <row r="681">
      <c r="K681" s="229"/>
    </row>
    <row r="682">
      <c r="K682" s="229"/>
    </row>
    <row r="683">
      <c r="K683" s="229"/>
    </row>
    <row r="684">
      <c r="K684" s="229"/>
    </row>
    <row r="685">
      <c r="K685" s="229"/>
    </row>
    <row r="686">
      <c r="K686" s="229"/>
    </row>
    <row r="687">
      <c r="K687" s="229"/>
    </row>
    <row r="688">
      <c r="K688" s="229"/>
    </row>
    <row r="689">
      <c r="K689" s="229"/>
    </row>
    <row r="690">
      <c r="K690" s="229"/>
    </row>
    <row r="691">
      <c r="K691" s="229"/>
    </row>
    <row r="692">
      <c r="K692" s="229"/>
    </row>
    <row r="693">
      <c r="K693" s="229"/>
    </row>
    <row r="694">
      <c r="K694" s="229"/>
    </row>
    <row r="695">
      <c r="K695" s="229"/>
    </row>
    <row r="696">
      <c r="K696" s="229"/>
    </row>
    <row r="697">
      <c r="K697" s="229"/>
    </row>
    <row r="698">
      <c r="K698" s="229"/>
    </row>
    <row r="699">
      <c r="K699" s="229"/>
    </row>
    <row r="700">
      <c r="K700" s="229"/>
    </row>
    <row r="701">
      <c r="K701" s="229"/>
    </row>
    <row r="702">
      <c r="K702" s="229"/>
    </row>
    <row r="703">
      <c r="K703" s="229"/>
    </row>
    <row r="704">
      <c r="K704" s="229"/>
    </row>
    <row r="705">
      <c r="K705" s="229"/>
    </row>
    <row r="706">
      <c r="K706" s="229"/>
    </row>
    <row r="707">
      <c r="K707" s="229"/>
    </row>
    <row r="708">
      <c r="K708" s="229"/>
    </row>
    <row r="709">
      <c r="K709" s="229"/>
    </row>
    <row r="710">
      <c r="K710" s="229"/>
    </row>
    <row r="711">
      <c r="K711" s="229"/>
    </row>
    <row r="712">
      <c r="K712" s="229"/>
    </row>
    <row r="713">
      <c r="K713" s="229"/>
    </row>
    <row r="714">
      <c r="K714" s="229"/>
    </row>
    <row r="715">
      <c r="K715" s="229"/>
    </row>
    <row r="716">
      <c r="K716" s="229"/>
    </row>
    <row r="717">
      <c r="K717" s="229"/>
    </row>
    <row r="718">
      <c r="K718" s="229"/>
    </row>
    <row r="719">
      <c r="K719" s="229"/>
    </row>
    <row r="720">
      <c r="K720" s="229"/>
    </row>
    <row r="721">
      <c r="K721" s="229"/>
    </row>
    <row r="722">
      <c r="K722" s="229"/>
    </row>
    <row r="723">
      <c r="K723" s="229"/>
    </row>
    <row r="724">
      <c r="K724" s="229"/>
    </row>
    <row r="725">
      <c r="K725" s="229"/>
    </row>
    <row r="726">
      <c r="K726" s="229"/>
    </row>
    <row r="727">
      <c r="K727" s="229"/>
    </row>
    <row r="728">
      <c r="K728" s="229"/>
    </row>
    <row r="729">
      <c r="K729" s="229"/>
    </row>
    <row r="730">
      <c r="K730" s="229"/>
    </row>
    <row r="731">
      <c r="K731" s="229"/>
    </row>
    <row r="732">
      <c r="K732" s="229"/>
    </row>
    <row r="733">
      <c r="K733" s="229"/>
    </row>
    <row r="734">
      <c r="K734" s="229"/>
    </row>
    <row r="735">
      <c r="K735" s="229"/>
    </row>
    <row r="736">
      <c r="K736" s="229"/>
    </row>
    <row r="737">
      <c r="K737" s="229"/>
    </row>
    <row r="738">
      <c r="K738" s="229"/>
    </row>
    <row r="739">
      <c r="K739" s="229"/>
    </row>
    <row r="740">
      <c r="K740" s="229"/>
    </row>
    <row r="741">
      <c r="K741" s="229"/>
    </row>
    <row r="742">
      <c r="K742" s="229"/>
    </row>
    <row r="743">
      <c r="K743" s="229"/>
    </row>
    <row r="744">
      <c r="K744" s="229"/>
    </row>
    <row r="745">
      <c r="K745" s="229"/>
    </row>
    <row r="746">
      <c r="K746" s="229"/>
    </row>
    <row r="747">
      <c r="K747" s="229"/>
    </row>
    <row r="748">
      <c r="K748" s="229"/>
    </row>
    <row r="749">
      <c r="K749" s="229"/>
    </row>
    <row r="750">
      <c r="K750" s="229"/>
    </row>
    <row r="751">
      <c r="K751" s="229"/>
    </row>
    <row r="752">
      <c r="K752" s="229"/>
    </row>
    <row r="753">
      <c r="K753" s="229"/>
    </row>
    <row r="754">
      <c r="K754" s="229"/>
    </row>
    <row r="755">
      <c r="K755" s="229"/>
    </row>
    <row r="756">
      <c r="K756" s="229"/>
    </row>
    <row r="757">
      <c r="K757" s="229"/>
    </row>
    <row r="758">
      <c r="K758" s="229"/>
    </row>
    <row r="759">
      <c r="K759" s="229"/>
    </row>
    <row r="760">
      <c r="K760" s="229"/>
    </row>
    <row r="761">
      <c r="K761" s="229"/>
    </row>
    <row r="762">
      <c r="K762" s="229"/>
    </row>
    <row r="763">
      <c r="K763" s="229"/>
    </row>
    <row r="764">
      <c r="K764" s="229"/>
    </row>
    <row r="765">
      <c r="K765" s="229"/>
    </row>
    <row r="766">
      <c r="K766" s="229"/>
    </row>
    <row r="767">
      <c r="K767" s="229"/>
    </row>
    <row r="768">
      <c r="K768" s="229"/>
    </row>
    <row r="769">
      <c r="K769" s="229"/>
    </row>
    <row r="770">
      <c r="K770" s="229"/>
    </row>
    <row r="771">
      <c r="K771" s="229"/>
    </row>
    <row r="772">
      <c r="K772" s="229"/>
    </row>
    <row r="773">
      <c r="K773" s="229"/>
    </row>
    <row r="774">
      <c r="K774" s="229"/>
    </row>
    <row r="775">
      <c r="K775" s="229"/>
    </row>
    <row r="776">
      <c r="K776" s="229"/>
    </row>
    <row r="777">
      <c r="K777" s="229"/>
    </row>
    <row r="778">
      <c r="K778" s="229"/>
    </row>
    <row r="779">
      <c r="K779" s="229"/>
    </row>
    <row r="780">
      <c r="K780" s="229"/>
    </row>
    <row r="781">
      <c r="K781" s="229"/>
    </row>
    <row r="782">
      <c r="K782" s="229"/>
    </row>
    <row r="783">
      <c r="K783" s="229"/>
    </row>
    <row r="784">
      <c r="K784" s="229"/>
    </row>
    <row r="785">
      <c r="K785" s="229"/>
    </row>
    <row r="786">
      <c r="K786" s="229"/>
    </row>
    <row r="787">
      <c r="K787" s="229"/>
    </row>
    <row r="788">
      <c r="K788" s="229"/>
    </row>
    <row r="789">
      <c r="K789" s="229"/>
    </row>
    <row r="790">
      <c r="K790" s="229"/>
    </row>
    <row r="791">
      <c r="K791" s="229"/>
    </row>
    <row r="792">
      <c r="K792" s="229"/>
    </row>
    <row r="793">
      <c r="K793" s="229"/>
    </row>
    <row r="794">
      <c r="K794" s="229"/>
    </row>
    <row r="795">
      <c r="K795" s="229"/>
    </row>
    <row r="796">
      <c r="K796" s="229"/>
    </row>
    <row r="797">
      <c r="K797" s="229"/>
    </row>
    <row r="798">
      <c r="K798" s="229"/>
    </row>
    <row r="799">
      <c r="K799" s="229"/>
    </row>
    <row r="800">
      <c r="K800" s="229"/>
    </row>
    <row r="801">
      <c r="K801" s="229"/>
    </row>
    <row r="802">
      <c r="K802" s="229"/>
    </row>
    <row r="803">
      <c r="K803" s="229"/>
    </row>
    <row r="804">
      <c r="K804" s="229"/>
    </row>
    <row r="805">
      <c r="K805" s="229"/>
    </row>
    <row r="806">
      <c r="K806" s="229"/>
    </row>
    <row r="807">
      <c r="K807" s="229"/>
    </row>
    <row r="808">
      <c r="K808" s="229"/>
    </row>
    <row r="809">
      <c r="K809" s="229"/>
    </row>
    <row r="810">
      <c r="K810" s="229"/>
    </row>
    <row r="811">
      <c r="K811" s="229"/>
    </row>
    <row r="812">
      <c r="K812" s="229"/>
    </row>
    <row r="813">
      <c r="K813" s="229"/>
    </row>
    <row r="814">
      <c r="K814" s="229"/>
    </row>
    <row r="815">
      <c r="K815" s="229"/>
    </row>
    <row r="816">
      <c r="K816" s="229"/>
    </row>
    <row r="817">
      <c r="K817" s="229"/>
    </row>
    <row r="818">
      <c r="K818" s="229"/>
    </row>
    <row r="819">
      <c r="K819" s="229"/>
    </row>
    <row r="820">
      <c r="K820" s="229"/>
    </row>
    <row r="821">
      <c r="K821" s="229"/>
    </row>
    <row r="822">
      <c r="K822" s="229"/>
    </row>
    <row r="823">
      <c r="K823" s="229"/>
    </row>
    <row r="824">
      <c r="K824" s="229"/>
    </row>
    <row r="825">
      <c r="K825" s="229"/>
    </row>
    <row r="826">
      <c r="K826" s="229"/>
    </row>
    <row r="827">
      <c r="K827" s="229"/>
    </row>
    <row r="828">
      <c r="K828" s="229"/>
    </row>
    <row r="829">
      <c r="K829" s="229"/>
    </row>
    <row r="830">
      <c r="K830" s="229"/>
    </row>
    <row r="831">
      <c r="K831" s="229"/>
    </row>
    <row r="832">
      <c r="K832" s="229"/>
    </row>
    <row r="833">
      <c r="K833" s="229"/>
    </row>
    <row r="834">
      <c r="K834" s="229"/>
    </row>
    <row r="835">
      <c r="K835" s="229"/>
    </row>
    <row r="836">
      <c r="K836" s="229"/>
    </row>
    <row r="837">
      <c r="K837" s="229"/>
    </row>
    <row r="838">
      <c r="K838" s="229"/>
    </row>
    <row r="839">
      <c r="K839" s="229"/>
    </row>
    <row r="840">
      <c r="K840" s="229"/>
    </row>
    <row r="841">
      <c r="K841" s="229"/>
    </row>
    <row r="842">
      <c r="K842" s="229"/>
    </row>
    <row r="843">
      <c r="K843" s="229"/>
    </row>
    <row r="844">
      <c r="K844" s="229"/>
    </row>
    <row r="845">
      <c r="K845" s="229"/>
    </row>
    <row r="846">
      <c r="K846" s="229"/>
    </row>
    <row r="847">
      <c r="K847" s="229"/>
    </row>
    <row r="848">
      <c r="K848" s="229"/>
    </row>
    <row r="849">
      <c r="K849" s="229"/>
    </row>
    <row r="850">
      <c r="K850" s="229"/>
    </row>
    <row r="851">
      <c r="K851" s="229"/>
    </row>
    <row r="852">
      <c r="K852" s="229"/>
    </row>
    <row r="853">
      <c r="K853" s="229"/>
    </row>
    <row r="854">
      <c r="K854" s="229"/>
    </row>
    <row r="855">
      <c r="K855" s="229"/>
    </row>
    <row r="856">
      <c r="K856" s="229"/>
    </row>
    <row r="857">
      <c r="K857" s="229"/>
    </row>
    <row r="858">
      <c r="K858" s="229"/>
    </row>
    <row r="859">
      <c r="K859" s="229"/>
    </row>
    <row r="860">
      <c r="K860" s="229"/>
    </row>
    <row r="861">
      <c r="K861" s="229"/>
    </row>
    <row r="862">
      <c r="K862" s="229"/>
    </row>
    <row r="863">
      <c r="K863" s="229"/>
    </row>
    <row r="864">
      <c r="K864" s="229"/>
    </row>
    <row r="865">
      <c r="K865" s="229"/>
    </row>
    <row r="866">
      <c r="K866" s="229"/>
    </row>
    <row r="867">
      <c r="K867" s="229"/>
    </row>
    <row r="868">
      <c r="K868" s="229"/>
    </row>
    <row r="869">
      <c r="K869" s="229"/>
    </row>
    <row r="870">
      <c r="K870" s="229"/>
    </row>
    <row r="871">
      <c r="K871" s="229"/>
    </row>
    <row r="872">
      <c r="K872" s="229"/>
    </row>
    <row r="873">
      <c r="K873" s="229"/>
    </row>
    <row r="874">
      <c r="K874" s="229"/>
    </row>
    <row r="875">
      <c r="K875" s="229"/>
    </row>
    <row r="876">
      <c r="K876" s="229"/>
    </row>
    <row r="877">
      <c r="K877" s="229"/>
    </row>
    <row r="878">
      <c r="K878" s="229"/>
    </row>
    <row r="879">
      <c r="K879" s="229"/>
    </row>
    <row r="880">
      <c r="K880" s="229"/>
    </row>
    <row r="881">
      <c r="K881" s="229"/>
    </row>
    <row r="882">
      <c r="K882" s="229"/>
    </row>
    <row r="883">
      <c r="K883" s="229"/>
    </row>
    <row r="884">
      <c r="K884" s="229"/>
    </row>
    <row r="885">
      <c r="K885" s="229"/>
    </row>
    <row r="886">
      <c r="K886" s="229"/>
    </row>
    <row r="887">
      <c r="K887" s="229"/>
    </row>
    <row r="888">
      <c r="K888" s="229"/>
    </row>
    <row r="889">
      <c r="K889" s="229"/>
    </row>
    <row r="890">
      <c r="K890" s="229"/>
    </row>
    <row r="891">
      <c r="K891" s="229"/>
    </row>
    <row r="892">
      <c r="K892" s="229"/>
    </row>
    <row r="893">
      <c r="K893" s="229"/>
    </row>
    <row r="894">
      <c r="K894" s="229"/>
    </row>
    <row r="895">
      <c r="K895" s="229"/>
    </row>
    <row r="896">
      <c r="K896" s="229"/>
    </row>
    <row r="897">
      <c r="K897" s="229"/>
    </row>
    <row r="898">
      <c r="K898" s="229"/>
    </row>
    <row r="899">
      <c r="K899" s="229"/>
    </row>
    <row r="900">
      <c r="K900" s="229"/>
    </row>
    <row r="901">
      <c r="K901" s="229"/>
    </row>
    <row r="902">
      <c r="K902" s="229"/>
    </row>
    <row r="903">
      <c r="K903" s="229"/>
    </row>
    <row r="904">
      <c r="K904" s="229"/>
    </row>
    <row r="905">
      <c r="K905" s="229"/>
    </row>
    <row r="906">
      <c r="K906" s="229"/>
    </row>
    <row r="907">
      <c r="K907" s="229"/>
    </row>
    <row r="908">
      <c r="K908" s="229"/>
    </row>
    <row r="909">
      <c r="K909" s="229"/>
    </row>
    <row r="910">
      <c r="K910" s="229"/>
    </row>
    <row r="911">
      <c r="K911" s="229"/>
    </row>
    <row r="912">
      <c r="K912" s="229"/>
    </row>
    <row r="913">
      <c r="K913" s="229"/>
    </row>
    <row r="914">
      <c r="K914" s="229"/>
    </row>
    <row r="915">
      <c r="K915" s="229"/>
    </row>
    <row r="916">
      <c r="K916" s="229"/>
    </row>
    <row r="917">
      <c r="K917" s="229"/>
    </row>
    <row r="918">
      <c r="K918" s="229"/>
    </row>
    <row r="919">
      <c r="K919" s="229"/>
    </row>
    <row r="920">
      <c r="K920" s="229"/>
    </row>
    <row r="921">
      <c r="K921" s="229"/>
    </row>
    <row r="922">
      <c r="K922" s="229"/>
    </row>
    <row r="923">
      <c r="K923" s="229"/>
    </row>
    <row r="924">
      <c r="K924" s="229"/>
    </row>
    <row r="925">
      <c r="K925" s="229"/>
    </row>
    <row r="926">
      <c r="K926" s="229"/>
    </row>
    <row r="927">
      <c r="K927" s="229"/>
    </row>
    <row r="928">
      <c r="K928" s="229"/>
    </row>
    <row r="929">
      <c r="K929" s="229"/>
    </row>
    <row r="930">
      <c r="K930" s="229"/>
    </row>
    <row r="931">
      <c r="K931" s="229"/>
    </row>
    <row r="932">
      <c r="K932" s="229"/>
    </row>
    <row r="933">
      <c r="K933" s="229"/>
    </row>
    <row r="934">
      <c r="K934" s="229"/>
    </row>
    <row r="935">
      <c r="K935" s="229"/>
    </row>
    <row r="936">
      <c r="K936" s="229"/>
    </row>
    <row r="937">
      <c r="K937" s="229"/>
    </row>
    <row r="938">
      <c r="K938" s="229"/>
    </row>
    <row r="939">
      <c r="K939" s="229"/>
    </row>
    <row r="940">
      <c r="K940" s="229"/>
    </row>
    <row r="941">
      <c r="K941" s="229"/>
    </row>
    <row r="942">
      <c r="K942" s="229"/>
    </row>
    <row r="943">
      <c r="K943" s="229"/>
    </row>
    <row r="944">
      <c r="K944" s="229"/>
    </row>
    <row r="945">
      <c r="K945" s="229"/>
    </row>
    <row r="946">
      <c r="K946" s="229"/>
    </row>
    <row r="947">
      <c r="K947" s="229"/>
    </row>
    <row r="948">
      <c r="K948" s="229"/>
    </row>
    <row r="949">
      <c r="K949" s="229"/>
    </row>
    <row r="950">
      <c r="K950" s="229"/>
    </row>
    <row r="951">
      <c r="K951" s="229"/>
    </row>
    <row r="952">
      <c r="K952" s="229"/>
    </row>
    <row r="953">
      <c r="K953" s="229"/>
    </row>
    <row r="954">
      <c r="K954" s="229"/>
    </row>
    <row r="955">
      <c r="K955" s="229"/>
    </row>
    <row r="956">
      <c r="K956" s="229"/>
    </row>
    <row r="957">
      <c r="K957" s="229"/>
    </row>
    <row r="958">
      <c r="K958" s="229"/>
    </row>
    <row r="959">
      <c r="K959" s="229"/>
    </row>
    <row r="960">
      <c r="K960" s="229"/>
    </row>
    <row r="961">
      <c r="K961" s="229"/>
    </row>
    <row r="962">
      <c r="K962" s="229"/>
    </row>
    <row r="963">
      <c r="K963" s="229"/>
    </row>
    <row r="964">
      <c r="K964" s="229"/>
    </row>
    <row r="965">
      <c r="K965" s="229"/>
    </row>
    <row r="966">
      <c r="K966" s="229"/>
    </row>
    <row r="967">
      <c r="K967" s="229"/>
    </row>
    <row r="968">
      <c r="K968" s="229"/>
    </row>
    <row r="969">
      <c r="K969" s="229"/>
    </row>
    <row r="970">
      <c r="K970" s="229"/>
    </row>
    <row r="971">
      <c r="K971" s="229"/>
    </row>
    <row r="972">
      <c r="K972" s="229"/>
    </row>
    <row r="973">
      <c r="K973" s="229"/>
    </row>
    <row r="974">
      <c r="K974" s="229"/>
    </row>
    <row r="975">
      <c r="K975" s="229"/>
    </row>
    <row r="976">
      <c r="K976" s="229"/>
    </row>
    <row r="977">
      <c r="K977" s="229"/>
    </row>
    <row r="978">
      <c r="K978" s="229"/>
    </row>
    <row r="979">
      <c r="K979" s="229"/>
    </row>
    <row r="980">
      <c r="K980" s="229"/>
    </row>
    <row r="981">
      <c r="K981" s="229"/>
    </row>
    <row r="982">
      <c r="K982" s="229"/>
    </row>
    <row r="983">
      <c r="K983" s="229"/>
    </row>
    <row r="984">
      <c r="K984" s="229"/>
    </row>
    <row r="985">
      <c r="K985" s="229"/>
    </row>
    <row r="986">
      <c r="K986" s="229"/>
    </row>
    <row r="987">
      <c r="K987" s="229"/>
    </row>
    <row r="988">
      <c r="K988" s="229"/>
    </row>
    <row r="989">
      <c r="K989" s="229"/>
    </row>
    <row r="990">
      <c r="K990" s="229"/>
    </row>
    <row r="991">
      <c r="K991" s="229"/>
    </row>
    <row r="992">
      <c r="K992" s="229"/>
    </row>
    <row r="993">
      <c r="K993" s="229"/>
    </row>
    <row r="994">
      <c r="K994" s="229"/>
    </row>
    <row r="995">
      <c r="K995" s="229"/>
    </row>
    <row r="996">
      <c r="K996" s="229"/>
    </row>
    <row r="997">
      <c r="K997" s="229"/>
    </row>
    <row r="998">
      <c r="K998" s="229"/>
    </row>
    <row r="999">
      <c r="K999" s="229"/>
    </row>
    <row r="1000">
      <c r="K1000" s="229"/>
    </row>
    <row r="1001">
      <c r="K1001" s="229"/>
    </row>
  </sheetData>
  <mergeCells count="6">
    <mergeCell ref="A1:A2"/>
    <mergeCell ref="B1:B2"/>
    <mergeCell ref="C1:C2"/>
    <mergeCell ref="D1:D2"/>
    <mergeCell ref="K1:K2"/>
    <mergeCell ref="L1:L2"/>
  </mergeCells>
  <dataValidations>
    <dataValidation type="list" allowBlank="1" showDropDown="1" showErrorMessage="1" sqref="D3:D42">
      <formula1>"-,1月、2月、3月,4月、5月、6月,7月、8月、9月,10月、11月、12月"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/>
      <c r="B1" s="236"/>
      <c r="C1" s="60">
        <v>2024.0</v>
      </c>
      <c r="D1" s="60">
        <v>2025.0</v>
      </c>
      <c r="H1" s="60" t="s">
        <v>257</v>
      </c>
    </row>
    <row r="2">
      <c r="A2" s="39" t="s">
        <v>158</v>
      </c>
      <c r="B2" s="236"/>
      <c r="C2" s="55">
        <v>10000.0</v>
      </c>
      <c r="D2" s="237"/>
      <c r="H2" s="55" t="s">
        <v>258</v>
      </c>
    </row>
    <row r="3">
      <c r="A3" s="39" t="s">
        <v>59</v>
      </c>
      <c r="B3" s="238"/>
      <c r="C3" s="237"/>
      <c r="D3" s="237"/>
      <c r="H3" s="23" t="s">
        <v>259</v>
      </c>
    </row>
    <row r="4">
      <c r="A4" s="39" t="s">
        <v>79</v>
      </c>
      <c r="B4" s="236"/>
      <c r="C4" s="55">
        <v>10000.0</v>
      </c>
      <c r="D4" s="55">
        <v>10000.0</v>
      </c>
      <c r="H4" s="239" t="s">
        <v>260</v>
      </c>
    </row>
    <row r="5" hidden="1">
      <c r="A5" s="39" t="s">
        <v>73</v>
      </c>
      <c r="B5" s="238"/>
      <c r="C5" s="237"/>
      <c r="D5" s="39"/>
      <c r="H5" s="19" t="s">
        <v>261</v>
      </c>
    </row>
    <row r="6">
      <c r="A6" s="39" t="s">
        <v>75</v>
      </c>
      <c r="B6" s="238"/>
      <c r="C6" s="237"/>
      <c r="D6" s="237"/>
    </row>
    <row r="7">
      <c r="A7" s="39" t="s">
        <v>69</v>
      </c>
      <c r="B7" s="238"/>
      <c r="C7" s="237"/>
      <c r="D7" s="55">
        <v>10000.0</v>
      </c>
    </row>
    <row r="8">
      <c r="A8" s="39" t="s">
        <v>92</v>
      </c>
      <c r="B8" s="238"/>
      <c r="C8" s="237"/>
      <c r="D8" s="237"/>
    </row>
    <row r="9">
      <c r="A9" s="39" t="s">
        <v>96</v>
      </c>
      <c r="B9" s="240">
        <v>44228.0</v>
      </c>
      <c r="C9" s="55">
        <v>9450.0</v>
      </c>
      <c r="D9" s="39"/>
    </row>
    <row r="10">
      <c r="A10" s="39" t="s">
        <v>86</v>
      </c>
      <c r="B10" s="238"/>
      <c r="C10" s="237"/>
      <c r="D10" s="237"/>
    </row>
    <row r="11">
      <c r="A11" s="39" t="s">
        <v>99</v>
      </c>
      <c r="B11" s="236"/>
      <c r="C11" s="55">
        <v>3000.0</v>
      </c>
      <c r="D11" s="39"/>
    </row>
    <row r="12">
      <c r="A12" s="39" t="s">
        <v>104</v>
      </c>
      <c r="B12" s="238"/>
      <c r="C12" s="237"/>
      <c r="D12" s="237"/>
    </row>
    <row r="13" hidden="1">
      <c r="A13" s="39" t="s">
        <v>110</v>
      </c>
      <c r="B13" s="236"/>
      <c r="C13" s="55">
        <v>10000.0</v>
      </c>
      <c r="D13" s="39"/>
    </row>
    <row r="14">
      <c r="A14" s="39" t="s">
        <v>100</v>
      </c>
      <c r="B14" s="238"/>
      <c r="C14" s="237"/>
      <c r="D14" s="237"/>
    </row>
    <row r="15">
      <c r="A15" s="39" t="s">
        <v>60</v>
      </c>
      <c r="B15" s="238"/>
      <c r="C15" s="237"/>
      <c r="D15" s="237"/>
    </row>
    <row r="16">
      <c r="A16" s="39" t="s">
        <v>81</v>
      </c>
      <c r="B16" s="238"/>
      <c r="C16" s="237"/>
      <c r="D16" s="237"/>
    </row>
    <row r="17" hidden="1">
      <c r="A17" s="39" t="s">
        <v>117</v>
      </c>
      <c r="B17" s="238"/>
      <c r="C17" s="39"/>
      <c r="D17" s="39"/>
    </row>
    <row r="18">
      <c r="A18" s="39" t="s">
        <v>122</v>
      </c>
      <c r="B18" s="238"/>
      <c r="C18" s="237"/>
      <c r="D18" s="237"/>
    </row>
    <row r="19">
      <c r="A19" s="39" t="s">
        <v>56</v>
      </c>
      <c r="B19" s="238"/>
      <c r="C19" s="237"/>
      <c r="D19" s="55">
        <v>10000.0</v>
      </c>
    </row>
    <row r="20">
      <c r="A20" s="39" t="s">
        <v>61</v>
      </c>
      <c r="B20" s="238"/>
      <c r="C20" s="237"/>
      <c r="D20" s="237"/>
    </row>
    <row r="21">
      <c r="A21" s="39" t="s">
        <v>87</v>
      </c>
      <c r="B21" s="238"/>
      <c r="C21" s="237"/>
      <c r="D21" s="55">
        <v>10000.0</v>
      </c>
    </row>
    <row r="22">
      <c r="A22" s="39" t="s">
        <v>88</v>
      </c>
      <c r="B22" s="238"/>
      <c r="C22" s="237"/>
      <c r="D22" s="55">
        <v>10000.0</v>
      </c>
    </row>
    <row r="23" hidden="1">
      <c r="A23" s="39" t="s">
        <v>131</v>
      </c>
      <c r="B23" s="238"/>
      <c r="C23" s="237"/>
      <c r="D23" s="39"/>
    </row>
    <row r="24">
      <c r="A24" s="39" t="s">
        <v>118</v>
      </c>
      <c r="B24" s="240">
        <v>45103.0</v>
      </c>
      <c r="C24" s="55">
        <v>10000.0</v>
      </c>
      <c r="D24" s="39"/>
    </row>
    <row r="25">
      <c r="A25" s="60" t="s">
        <v>66</v>
      </c>
      <c r="B25" s="238"/>
      <c r="C25" s="237"/>
      <c r="D25" s="237"/>
    </row>
    <row r="26">
      <c r="A26" s="60" t="s">
        <v>159</v>
      </c>
      <c r="B26" s="238"/>
      <c r="C26" s="39"/>
      <c r="D26" s="39"/>
    </row>
    <row r="27">
      <c r="A27" s="60" t="s">
        <v>63</v>
      </c>
      <c r="B27" s="238"/>
      <c r="C27" s="237"/>
      <c r="D27" s="237"/>
    </row>
    <row r="28">
      <c r="A28" s="60" t="s">
        <v>111</v>
      </c>
      <c r="B28" s="238"/>
      <c r="C28" s="237"/>
      <c r="D28" s="237"/>
    </row>
    <row r="29" hidden="1">
      <c r="A29" s="60" t="s">
        <v>93</v>
      </c>
      <c r="B29" s="238"/>
      <c r="C29" s="237"/>
      <c r="D29" s="39"/>
    </row>
    <row r="30">
      <c r="A30" s="60" t="s">
        <v>106</v>
      </c>
      <c r="B30" s="238"/>
      <c r="C30" s="237"/>
      <c r="D30" s="237"/>
    </row>
    <row r="31">
      <c r="A31" s="60" t="s">
        <v>76</v>
      </c>
      <c r="B31" s="238"/>
      <c r="C31" s="39"/>
      <c r="D31" s="55">
        <v>6819.0</v>
      </c>
    </row>
    <row r="32">
      <c r="A32" s="241" t="s">
        <v>82</v>
      </c>
      <c r="B32" s="238"/>
      <c r="C32" s="237"/>
      <c r="D32" s="55">
        <v>10000.0</v>
      </c>
    </row>
    <row r="33">
      <c r="A33" s="241" t="s">
        <v>132</v>
      </c>
      <c r="B33" s="238"/>
      <c r="C33" s="237"/>
      <c r="D33" s="55">
        <v>10000.0</v>
      </c>
    </row>
    <row r="34">
      <c r="A34" s="123" t="s">
        <v>89</v>
      </c>
      <c r="B34" s="238"/>
      <c r="C34" s="39"/>
      <c r="D34" s="237"/>
    </row>
    <row r="35">
      <c r="A35" s="216" t="s">
        <v>64</v>
      </c>
      <c r="B35" s="238"/>
      <c r="C35" s="39"/>
      <c r="D35" s="39"/>
    </row>
    <row r="36">
      <c r="A36" s="123" t="s">
        <v>101</v>
      </c>
      <c r="B36" s="238"/>
      <c r="C36" s="39"/>
      <c r="D36" s="237"/>
    </row>
    <row r="37" hidden="1">
      <c r="A37" s="123" t="s">
        <v>125</v>
      </c>
      <c r="B37" s="238"/>
      <c r="C37" s="39"/>
      <c r="D37" s="39"/>
    </row>
    <row r="38" hidden="1">
      <c r="A38" s="123" t="s">
        <v>107</v>
      </c>
      <c r="B38" s="238"/>
      <c r="C38" s="39"/>
      <c r="D38" s="39"/>
    </row>
    <row r="39">
      <c r="A39" s="129" t="s">
        <v>121</v>
      </c>
      <c r="B39" s="238"/>
      <c r="C39" s="39"/>
      <c r="D39" s="237"/>
    </row>
    <row r="40">
      <c r="A40" s="123" t="s">
        <v>112</v>
      </c>
      <c r="B40" s="238"/>
      <c r="C40" s="39"/>
      <c r="D40" s="39"/>
    </row>
    <row r="41">
      <c r="A41" s="129" t="s">
        <v>123</v>
      </c>
      <c r="B41" s="238"/>
      <c r="C41" s="39"/>
      <c r="D41" s="237"/>
    </row>
    <row r="42">
      <c r="A42" s="129" t="s">
        <v>139</v>
      </c>
      <c r="B42" s="238"/>
      <c r="C42" s="39"/>
      <c r="D42" s="39"/>
    </row>
    <row r="43">
      <c r="A43" s="129" t="s">
        <v>127</v>
      </c>
      <c r="B43" s="238"/>
      <c r="C43" s="39"/>
      <c r="D43" s="39"/>
    </row>
    <row r="44">
      <c r="A44" s="129" t="s">
        <v>90</v>
      </c>
      <c r="B44" s="238"/>
      <c r="C44" s="39"/>
      <c r="D44" s="39"/>
    </row>
    <row r="45">
      <c r="A45" s="129" t="s">
        <v>108</v>
      </c>
      <c r="B45" s="238"/>
      <c r="C45" s="39"/>
      <c r="D45" s="39"/>
    </row>
    <row r="46">
      <c r="A46" s="129" t="s">
        <v>67</v>
      </c>
      <c r="B46" s="238"/>
      <c r="C46" s="39"/>
      <c r="D46" s="39"/>
    </row>
    <row r="47">
      <c r="A47" s="129" t="s">
        <v>91</v>
      </c>
      <c r="B47" s="238"/>
      <c r="C47" s="39"/>
      <c r="D47" s="39"/>
    </row>
    <row r="48">
      <c r="A48" s="60" t="s">
        <v>102</v>
      </c>
      <c r="B48" s="130"/>
      <c r="C48" s="39"/>
      <c r="D48" s="39"/>
    </row>
    <row r="49">
      <c r="B49" s="242"/>
    </row>
    <row r="50">
      <c r="B50" s="242"/>
    </row>
    <row r="51">
      <c r="B51" s="242"/>
    </row>
    <row r="52">
      <c r="A52" s="122"/>
      <c r="B52" s="242"/>
    </row>
    <row r="53">
      <c r="B53" s="242"/>
    </row>
    <row r="54">
      <c r="B54" s="242"/>
    </row>
    <row r="55">
      <c r="B55" s="242"/>
    </row>
    <row r="56">
      <c r="B56" s="242"/>
    </row>
    <row r="57">
      <c r="B57" s="242"/>
    </row>
    <row r="58">
      <c r="B58" s="242"/>
    </row>
    <row r="59">
      <c r="B59" s="242"/>
    </row>
    <row r="60">
      <c r="B60" s="242"/>
    </row>
    <row r="61">
      <c r="B61" s="242"/>
    </row>
    <row r="62">
      <c r="B62" s="242"/>
    </row>
    <row r="63">
      <c r="B63" s="242"/>
    </row>
    <row r="64">
      <c r="B64" s="242"/>
    </row>
    <row r="65">
      <c r="B65" s="242"/>
    </row>
    <row r="66">
      <c r="B66" s="242"/>
    </row>
    <row r="67">
      <c r="B67" s="242"/>
    </row>
    <row r="68">
      <c r="B68" s="242"/>
    </row>
    <row r="69">
      <c r="B69" s="242"/>
    </row>
    <row r="70">
      <c r="B70" s="242"/>
    </row>
    <row r="71">
      <c r="B71" s="242"/>
    </row>
    <row r="72">
      <c r="B72" s="242"/>
    </row>
    <row r="73">
      <c r="B73" s="242"/>
    </row>
    <row r="74">
      <c r="B74" s="242"/>
    </row>
    <row r="75">
      <c r="B75" s="242"/>
    </row>
    <row r="76">
      <c r="B76" s="242"/>
    </row>
    <row r="77">
      <c r="B77" s="242"/>
    </row>
    <row r="78">
      <c r="B78" s="242"/>
    </row>
    <row r="79">
      <c r="B79" s="242"/>
    </row>
    <row r="80">
      <c r="B80" s="242"/>
    </row>
    <row r="81">
      <c r="B81" s="242"/>
    </row>
    <row r="82">
      <c r="B82" s="242"/>
    </row>
    <row r="83">
      <c r="B83" s="242"/>
    </row>
    <row r="84">
      <c r="B84" s="242"/>
    </row>
    <row r="85">
      <c r="B85" s="242"/>
    </row>
    <row r="86">
      <c r="B86" s="242"/>
    </row>
    <row r="87">
      <c r="B87" s="242"/>
    </row>
    <row r="88">
      <c r="B88" s="242"/>
    </row>
    <row r="89">
      <c r="B89" s="242"/>
    </row>
    <row r="90">
      <c r="B90" s="242"/>
    </row>
    <row r="91">
      <c r="B91" s="242"/>
    </row>
    <row r="92">
      <c r="B92" s="242"/>
    </row>
    <row r="93">
      <c r="B93" s="242"/>
    </row>
    <row r="94">
      <c r="B94" s="242"/>
    </row>
    <row r="95">
      <c r="B95" s="242"/>
    </row>
    <row r="96">
      <c r="B96" s="242"/>
    </row>
    <row r="97">
      <c r="B97" s="242"/>
    </row>
    <row r="98">
      <c r="B98" s="242"/>
    </row>
    <row r="99">
      <c r="B99" s="242"/>
    </row>
    <row r="100">
      <c r="B100" s="242"/>
    </row>
    <row r="101">
      <c r="B101" s="242"/>
    </row>
    <row r="102">
      <c r="B102" s="242"/>
    </row>
    <row r="103">
      <c r="B103" s="242"/>
    </row>
    <row r="104">
      <c r="B104" s="242"/>
    </row>
    <row r="105">
      <c r="B105" s="242"/>
    </row>
    <row r="106">
      <c r="B106" s="242"/>
    </row>
    <row r="107">
      <c r="B107" s="242"/>
    </row>
    <row r="108">
      <c r="B108" s="242"/>
    </row>
    <row r="109">
      <c r="B109" s="242"/>
    </row>
    <row r="110">
      <c r="B110" s="242"/>
    </row>
    <row r="111">
      <c r="B111" s="242"/>
    </row>
    <row r="112">
      <c r="B112" s="242"/>
    </row>
    <row r="113">
      <c r="B113" s="242"/>
    </row>
    <row r="114">
      <c r="B114" s="242"/>
    </row>
    <row r="115">
      <c r="B115" s="242"/>
    </row>
    <row r="116">
      <c r="B116" s="242"/>
    </row>
    <row r="117">
      <c r="B117" s="242"/>
    </row>
    <row r="118">
      <c r="B118" s="242"/>
    </row>
    <row r="119">
      <c r="B119" s="242"/>
    </row>
    <row r="120">
      <c r="B120" s="242"/>
    </row>
    <row r="121">
      <c r="B121" s="242"/>
    </row>
    <row r="122">
      <c r="B122" s="242"/>
    </row>
    <row r="123">
      <c r="B123" s="242"/>
    </row>
    <row r="124">
      <c r="B124" s="242"/>
    </row>
    <row r="125">
      <c r="B125" s="242"/>
    </row>
    <row r="126">
      <c r="B126" s="242"/>
    </row>
    <row r="127">
      <c r="B127" s="242"/>
    </row>
    <row r="128">
      <c r="B128" s="242"/>
    </row>
    <row r="129">
      <c r="B129" s="242"/>
    </row>
    <row r="130">
      <c r="B130" s="242"/>
    </row>
    <row r="131">
      <c r="B131" s="242"/>
    </row>
    <row r="132">
      <c r="B132" s="242"/>
    </row>
    <row r="133">
      <c r="B133" s="242"/>
    </row>
    <row r="134">
      <c r="B134" s="242"/>
    </row>
    <row r="135">
      <c r="B135" s="242"/>
    </row>
    <row r="136">
      <c r="B136" s="242"/>
    </row>
    <row r="137">
      <c r="B137" s="242"/>
    </row>
    <row r="138">
      <c r="B138" s="242"/>
    </row>
    <row r="139">
      <c r="B139" s="242"/>
    </row>
    <row r="140">
      <c r="B140" s="242"/>
    </row>
    <row r="141">
      <c r="B141" s="242"/>
    </row>
    <row r="142">
      <c r="B142" s="242"/>
    </row>
    <row r="143">
      <c r="B143" s="242"/>
    </row>
    <row r="144">
      <c r="B144" s="242"/>
    </row>
    <row r="145">
      <c r="B145" s="242"/>
    </row>
    <row r="146">
      <c r="B146" s="242"/>
    </row>
    <row r="147">
      <c r="B147" s="242"/>
    </row>
    <row r="148">
      <c r="B148" s="242"/>
    </row>
    <row r="149">
      <c r="B149" s="242"/>
    </row>
    <row r="150">
      <c r="B150" s="242"/>
    </row>
    <row r="151">
      <c r="B151" s="242"/>
    </row>
    <row r="152">
      <c r="B152" s="242"/>
    </row>
    <row r="153">
      <c r="B153" s="242"/>
    </row>
    <row r="154">
      <c r="B154" s="242"/>
    </row>
    <row r="155">
      <c r="B155" s="242"/>
    </row>
    <row r="156">
      <c r="B156" s="242"/>
    </row>
    <row r="157">
      <c r="B157" s="242"/>
    </row>
    <row r="158">
      <c r="B158" s="242"/>
    </row>
    <row r="159">
      <c r="B159" s="242"/>
    </row>
    <row r="160">
      <c r="B160" s="242"/>
    </row>
    <row r="161">
      <c r="B161" s="242"/>
    </row>
    <row r="162">
      <c r="B162" s="242"/>
    </row>
    <row r="163">
      <c r="B163" s="242"/>
    </row>
    <row r="164">
      <c r="B164" s="242"/>
    </row>
    <row r="165">
      <c r="B165" s="242"/>
    </row>
    <row r="166">
      <c r="B166" s="242"/>
    </row>
    <row r="167">
      <c r="B167" s="242"/>
    </row>
    <row r="168">
      <c r="B168" s="242"/>
    </row>
    <row r="169">
      <c r="B169" s="242"/>
    </row>
    <row r="170">
      <c r="B170" s="242"/>
    </row>
    <row r="171">
      <c r="B171" s="242"/>
    </row>
    <row r="172">
      <c r="B172" s="242"/>
    </row>
    <row r="173">
      <c r="B173" s="242"/>
    </row>
    <row r="174">
      <c r="B174" s="242"/>
    </row>
    <row r="175">
      <c r="B175" s="242"/>
    </row>
    <row r="176">
      <c r="B176" s="242"/>
    </row>
    <row r="177">
      <c r="B177" s="242"/>
    </row>
    <row r="178">
      <c r="B178" s="242"/>
    </row>
    <row r="179">
      <c r="B179" s="242"/>
    </row>
    <row r="180">
      <c r="B180" s="242"/>
    </row>
    <row r="181">
      <c r="B181" s="242"/>
    </row>
    <row r="182">
      <c r="B182" s="242"/>
    </row>
    <row r="183">
      <c r="B183" s="242"/>
    </row>
    <row r="184">
      <c r="B184" s="242"/>
    </row>
    <row r="185">
      <c r="B185" s="242"/>
    </row>
    <row r="186">
      <c r="B186" s="242"/>
    </row>
    <row r="187">
      <c r="B187" s="242"/>
    </row>
    <row r="188">
      <c r="B188" s="242"/>
    </row>
    <row r="189">
      <c r="B189" s="242"/>
    </row>
    <row r="190">
      <c r="B190" s="242"/>
    </row>
    <row r="191">
      <c r="B191" s="242"/>
    </row>
    <row r="192">
      <c r="B192" s="242"/>
    </row>
    <row r="193">
      <c r="B193" s="242"/>
    </row>
    <row r="194">
      <c r="B194" s="242"/>
    </row>
    <row r="195">
      <c r="B195" s="242"/>
    </row>
    <row r="196">
      <c r="B196" s="242"/>
    </row>
    <row r="197">
      <c r="B197" s="242"/>
    </row>
    <row r="198">
      <c r="B198" s="242"/>
    </row>
    <row r="199">
      <c r="B199" s="242"/>
    </row>
    <row r="200">
      <c r="B200" s="242"/>
    </row>
    <row r="201">
      <c r="B201" s="242"/>
    </row>
    <row r="202">
      <c r="B202" s="242"/>
    </row>
    <row r="203">
      <c r="B203" s="242"/>
    </row>
    <row r="204">
      <c r="B204" s="242"/>
    </row>
    <row r="205">
      <c r="B205" s="242"/>
    </row>
    <row r="206">
      <c r="B206" s="242"/>
    </row>
    <row r="207">
      <c r="B207" s="242"/>
    </row>
    <row r="208">
      <c r="B208" s="242"/>
    </row>
    <row r="209">
      <c r="B209" s="242"/>
    </row>
    <row r="210">
      <c r="B210" s="242"/>
    </row>
    <row r="211">
      <c r="B211" s="242"/>
    </row>
    <row r="212">
      <c r="B212" s="242"/>
    </row>
    <row r="213">
      <c r="B213" s="242"/>
    </row>
    <row r="214">
      <c r="B214" s="242"/>
    </row>
    <row r="215">
      <c r="B215" s="242"/>
    </row>
    <row r="216">
      <c r="B216" s="242"/>
    </row>
    <row r="217">
      <c r="B217" s="242"/>
    </row>
    <row r="218">
      <c r="B218" s="242"/>
    </row>
    <row r="219">
      <c r="B219" s="242"/>
    </row>
    <row r="220">
      <c r="B220" s="242"/>
    </row>
    <row r="221">
      <c r="B221" s="242"/>
    </row>
    <row r="222">
      <c r="B222" s="242"/>
    </row>
    <row r="223">
      <c r="B223" s="242"/>
    </row>
    <row r="224">
      <c r="B224" s="242"/>
    </row>
    <row r="225">
      <c r="B225" s="242"/>
    </row>
    <row r="226">
      <c r="B226" s="242"/>
    </row>
    <row r="227">
      <c r="B227" s="242"/>
    </row>
    <row r="228">
      <c r="B228" s="242"/>
    </row>
    <row r="229">
      <c r="B229" s="242"/>
    </row>
    <row r="230">
      <c r="B230" s="242"/>
    </row>
    <row r="231">
      <c r="B231" s="242"/>
    </row>
    <row r="232">
      <c r="B232" s="242"/>
    </row>
    <row r="233">
      <c r="B233" s="242"/>
    </row>
    <row r="234">
      <c r="B234" s="242"/>
    </row>
    <row r="235">
      <c r="B235" s="242"/>
    </row>
    <row r="236">
      <c r="B236" s="242"/>
    </row>
    <row r="237">
      <c r="B237" s="242"/>
    </row>
    <row r="238">
      <c r="B238" s="242"/>
    </row>
    <row r="239">
      <c r="B239" s="242"/>
    </row>
    <row r="240">
      <c r="B240" s="242"/>
    </row>
    <row r="241">
      <c r="B241" s="242"/>
    </row>
    <row r="242">
      <c r="B242" s="242"/>
    </row>
    <row r="243">
      <c r="B243" s="242"/>
    </row>
    <row r="244">
      <c r="B244" s="242"/>
    </row>
    <row r="245">
      <c r="B245" s="242"/>
    </row>
    <row r="246">
      <c r="B246" s="242"/>
    </row>
    <row r="247">
      <c r="B247" s="242"/>
    </row>
    <row r="248">
      <c r="B248" s="242"/>
    </row>
    <row r="249">
      <c r="B249" s="242"/>
    </row>
    <row r="250">
      <c r="B250" s="242"/>
    </row>
    <row r="251">
      <c r="B251" s="242"/>
    </row>
    <row r="252">
      <c r="B252" s="242"/>
    </row>
    <row r="253">
      <c r="B253" s="242"/>
    </row>
    <row r="254">
      <c r="B254" s="242"/>
    </row>
    <row r="255">
      <c r="B255" s="242"/>
    </row>
    <row r="256">
      <c r="B256" s="242"/>
    </row>
    <row r="257">
      <c r="B257" s="242"/>
    </row>
    <row r="258">
      <c r="B258" s="242"/>
    </row>
    <row r="259">
      <c r="B259" s="242"/>
    </row>
    <row r="260">
      <c r="B260" s="242"/>
    </row>
    <row r="261">
      <c r="B261" s="242"/>
    </row>
    <row r="262">
      <c r="B262" s="242"/>
    </row>
    <row r="263">
      <c r="B263" s="242"/>
    </row>
    <row r="264">
      <c r="B264" s="242"/>
    </row>
    <row r="265">
      <c r="B265" s="242"/>
    </row>
    <row r="266">
      <c r="B266" s="242"/>
    </row>
    <row r="267">
      <c r="B267" s="242"/>
    </row>
    <row r="268">
      <c r="B268" s="242"/>
    </row>
    <row r="269">
      <c r="B269" s="242"/>
    </row>
    <row r="270">
      <c r="B270" s="242"/>
    </row>
    <row r="271">
      <c r="B271" s="242"/>
    </row>
    <row r="272">
      <c r="B272" s="242"/>
    </row>
    <row r="273">
      <c r="B273" s="242"/>
    </row>
    <row r="274">
      <c r="B274" s="242"/>
    </row>
    <row r="275">
      <c r="B275" s="242"/>
    </row>
    <row r="276">
      <c r="B276" s="242"/>
    </row>
    <row r="277">
      <c r="B277" s="242"/>
    </row>
    <row r="278">
      <c r="B278" s="242"/>
    </row>
    <row r="279">
      <c r="B279" s="242"/>
    </row>
    <row r="280">
      <c r="B280" s="242"/>
    </row>
    <row r="281">
      <c r="B281" s="242"/>
    </row>
    <row r="282">
      <c r="B282" s="242"/>
    </row>
    <row r="283">
      <c r="B283" s="242"/>
    </row>
    <row r="284">
      <c r="B284" s="242"/>
    </row>
    <row r="285">
      <c r="B285" s="242"/>
    </row>
    <row r="286">
      <c r="B286" s="242"/>
    </row>
    <row r="287">
      <c r="B287" s="242"/>
    </row>
    <row r="288">
      <c r="B288" s="242"/>
    </row>
    <row r="289">
      <c r="B289" s="242"/>
    </row>
    <row r="290">
      <c r="B290" s="242"/>
    </row>
    <row r="291">
      <c r="B291" s="242"/>
    </row>
    <row r="292">
      <c r="B292" s="242"/>
    </row>
    <row r="293">
      <c r="B293" s="242"/>
    </row>
    <row r="294">
      <c r="B294" s="242"/>
    </row>
    <row r="295">
      <c r="B295" s="242"/>
    </row>
    <row r="296">
      <c r="B296" s="242"/>
    </row>
    <row r="297">
      <c r="B297" s="242"/>
    </row>
    <row r="298">
      <c r="B298" s="242"/>
    </row>
    <row r="299">
      <c r="B299" s="242"/>
    </row>
    <row r="300">
      <c r="B300" s="242"/>
    </row>
    <row r="301">
      <c r="B301" s="242"/>
    </row>
    <row r="302">
      <c r="B302" s="242"/>
    </row>
    <row r="303">
      <c r="B303" s="242"/>
    </row>
    <row r="304">
      <c r="B304" s="242"/>
    </row>
    <row r="305">
      <c r="B305" s="242"/>
    </row>
    <row r="306">
      <c r="B306" s="242"/>
    </row>
    <row r="307">
      <c r="B307" s="242"/>
    </row>
    <row r="308">
      <c r="B308" s="242"/>
    </row>
    <row r="309">
      <c r="B309" s="242"/>
    </row>
    <row r="310">
      <c r="B310" s="242"/>
    </row>
    <row r="311">
      <c r="B311" s="242"/>
    </row>
    <row r="312">
      <c r="B312" s="242"/>
    </row>
    <row r="313">
      <c r="B313" s="242"/>
    </row>
    <row r="314">
      <c r="B314" s="242"/>
    </row>
    <row r="315">
      <c r="B315" s="242"/>
    </row>
    <row r="316">
      <c r="B316" s="242"/>
    </row>
    <row r="317">
      <c r="B317" s="242"/>
    </row>
    <row r="318">
      <c r="B318" s="242"/>
    </row>
    <row r="319">
      <c r="B319" s="242"/>
    </row>
    <row r="320">
      <c r="B320" s="242"/>
    </row>
    <row r="321">
      <c r="B321" s="242"/>
    </row>
    <row r="322">
      <c r="B322" s="242"/>
    </row>
    <row r="323">
      <c r="B323" s="242"/>
    </row>
    <row r="324">
      <c r="B324" s="242"/>
    </row>
    <row r="325">
      <c r="B325" s="242"/>
    </row>
    <row r="326">
      <c r="B326" s="242"/>
    </row>
    <row r="327">
      <c r="B327" s="242"/>
    </row>
    <row r="328">
      <c r="B328" s="242"/>
    </row>
    <row r="329">
      <c r="B329" s="242"/>
    </row>
    <row r="330">
      <c r="B330" s="242"/>
    </row>
    <row r="331">
      <c r="B331" s="242"/>
    </row>
    <row r="332">
      <c r="B332" s="242"/>
    </row>
    <row r="333">
      <c r="B333" s="242"/>
    </row>
    <row r="334">
      <c r="B334" s="242"/>
    </row>
    <row r="335">
      <c r="B335" s="242"/>
    </row>
    <row r="336">
      <c r="B336" s="242"/>
    </row>
    <row r="337">
      <c r="B337" s="242"/>
    </row>
    <row r="338">
      <c r="B338" s="242"/>
    </row>
    <row r="339">
      <c r="B339" s="242"/>
    </row>
    <row r="340">
      <c r="B340" s="242"/>
    </row>
    <row r="341">
      <c r="B341" s="242"/>
    </row>
    <row r="342">
      <c r="B342" s="242"/>
    </row>
    <row r="343">
      <c r="B343" s="242"/>
    </row>
    <row r="344">
      <c r="B344" s="242"/>
    </row>
    <row r="345">
      <c r="B345" s="242"/>
    </row>
    <row r="346">
      <c r="B346" s="242"/>
    </row>
    <row r="347">
      <c r="B347" s="242"/>
    </row>
    <row r="348">
      <c r="B348" s="242"/>
    </row>
    <row r="349">
      <c r="B349" s="242"/>
    </row>
    <row r="350">
      <c r="B350" s="242"/>
    </row>
    <row r="351">
      <c r="B351" s="242"/>
    </row>
    <row r="352">
      <c r="B352" s="242"/>
    </row>
    <row r="353">
      <c r="B353" s="242"/>
    </row>
    <row r="354">
      <c r="B354" s="242"/>
    </row>
    <row r="355">
      <c r="B355" s="242"/>
    </row>
    <row r="356">
      <c r="B356" s="242"/>
    </row>
    <row r="357">
      <c r="B357" s="242"/>
    </row>
    <row r="358">
      <c r="B358" s="242"/>
    </row>
    <row r="359">
      <c r="B359" s="242"/>
    </row>
    <row r="360">
      <c r="B360" s="242"/>
    </row>
    <row r="361">
      <c r="B361" s="242"/>
    </row>
    <row r="362">
      <c r="B362" s="242"/>
    </row>
    <row r="363">
      <c r="B363" s="242"/>
    </row>
    <row r="364">
      <c r="B364" s="242"/>
    </row>
    <row r="365">
      <c r="B365" s="242"/>
    </row>
    <row r="366">
      <c r="B366" s="242"/>
    </row>
    <row r="367">
      <c r="B367" s="242"/>
    </row>
    <row r="368">
      <c r="B368" s="242"/>
    </row>
    <row r="369">
      <c r="B369" s="242"/>
    </row>
    <row r="370">
      <c r="B370" s="242"/>
    </row>
    <row r="371">
      <c r="B371" s="242"/>
    </row>
    <row r="372">
      <c r="B372" s="242"/>
    </row>
    <row r="373">
      <c r="B373" s="242"/>
    </row>
    <row r="374">
      <c r="B374" s="242"/>
    </row>
    <row r="375">
      <c r="B375" s="242"/>
    </row>
    <row r="376">
      <c r="B376" s="242"/>
    </row>
    <row r="377">
      <c r="B377" s="242"/>
    </row>
    <row r="378">
      <c r="B378" s="242"/>
    </row>
    <row r="379">
      <c r="B379" s="242"/>
    </row>
    <row r="380">
      <c r="B380" s="242"/>
    </row>
    <row r="381">
      <c r="B381" s="242"/>
    </row>
    <row r="382">
      <c r="B382" s="242"/>
    </row>
    <row r="383">
      <c r="B383" s="242"/>
    </row>
    <row r="384">
      <c r="B384" s="242"/>
    </row>
    <row r="385">
      <c r="B385" s="242"/>
    </row>
    <row r="386">
      <c r="B386" s="242"/>
    </row>
    <row r="387">
      <c r="B387" s="242"/>
    </row>
    <row r="388">
      <c r="B388" s="242"/>
    </row>
    <row r="389">
      <c r="B389" s="242"/>
    </row>
    <row r="390">
      <c r="B390" s="242"/>
    </row>
    <row r="391">
      <c r="B391" s="242"/>
    </row>
    <row r="392">
      <c r="B392" s="242"/>
    </row>
    <row r="393">
      <c r="B393" s="242"/>
    </row>
    <row r="394">
      <c r="B394" s="242"/>
    </row>
    <row r="395">
      <c r="B395" s="242"/>
    </row>
    <row r="396">
      <c r="B396" s="242"/>
    </row>
    <row r="397">
      <c r="B397" s="242"/>
    </row>
    <row r="398">
      <c r="B398" s="242"/>
    </row>
    <row r="399">
      <c r="B399" s="242"/>
    </row>
    <row r="400">
      <c r="B400" s="242"/>
    </row>
    <row r="401">
      <c r="B401" s="242"/>
    </row>
    <row r="402">
      <c r="B402" s="242"/>
    </row>
    <row r="403">
      <c r="B403" s="242"/>
    </row>
    <row r="404">
      <c r="B404" s="242"/>
    </row>
    <row r="405">
      <c r="B405" s="242"/>
    </row>
    <row r="406">
      <c r="B406" s="242"/>
    </row>
    <row r="407">
      <c r="B407" s="242"/>
    </row>
    <row r="408">
      <c r="B408" s="242"/>
    </row>
    <row r="409">
      <c r="B409" s="242"/>
    </row>
    <row r="410">
      <c r="B410" s="242"/>
    </row>
    <row r="411">
      <c r="B411" s="242"/>
    </row>
    <row r="412">
      <c r="B412" s="242"/>
    </row>
    <row r="413">
      <c r="B413" s="242"/>
    </row>
    <row r="414">
      <c r="B414" s="242"/>
    </row>
    <row r="415">
      <c r="B415" s="242"/>
    </row>
    <row r="416">
      <c r="B416" s="242"/>
    </row>
    <row r="417">
      <c r="B417" s="242"/>
    </row>
    <row r="418">
      <c r="B418" s="242"/>
    </row>
    <row r="419">
      <c r="B419" s="242"/>
    </row>
    <row r="420">
      <c r="B420" s="242"/>
    </row>
    <row r="421">
      <c r="B421" s="242"/>
    </row>
    <row r="422">
      <c r="B422" s="242"/>
    </row>
    <row r="423">
      <c r="B423" s="242"/>
    </row>
    <row r="424">
      <c r="B424" s="242"/>
    </row>
    <row r="425">
      <c r="B425" s="242"/>
    </row>
    <row r="426">
      <c r="B426" s="242"/>
    </row>
    <row r="427">
      <c r="B427" s="242"/>
    </row>
    <row r="428">
      <c r="B428" s="242"/>
    </row>
    <row r="429">
      <c r="B429" s="242"/>
    </row>
    <row r="430">
      <c r="B430" s="242"/>
    </row>
    <row r="431">
      <c r="B431" s="242"/>
    </row>
    <row r="432">
      <c r="B432" s="242"/>
    </row>
    <row r="433">
      <c r="B433" s="242"/>
    </row>
    <row r="434">
      <c r="B434" s="242"/>
    </row>
    <row r="435">
      <c r="B435" s="242"/>
    </row>
    <row r="436">
      <c r="B436" s="242"/>
    </row>
    <row r="437">
      <c r="B437" s="242"/>
    </row>
    <row r="438">
      <c r="B438" s="242"/>
    </row>
    <row r="439">
      <c r="B439" s="242"/>
    </row>
    <row r="440">
      <c r="B440" s="242"/>
    </row>
    <row r="441">
      <c r="B441" s="242"/>
    </row>
    <row r="442">
      <c r="B442" s="242"/>
    </row>
    <row r="443">
      <c r="B443" s="242"/>
    </row>
    <row r="444">
      <c r="B444" s="242"/>
    </row>
    <row r="445">
      <c r="B445" s="242"/>
    </row>
    <row r="446">
      <c r="B446" s="242"/>
    </row>
    <row r="447">
      <c r="B447" s="242"/>
    </row>
    <row r="448">
      <c r="B448" s="242"/>
    </row>
    <row r="449">
      <c r="B449" s="242"/>
    </row>
    <row r="450">
      <c r="B450" s="242"/>
    </row>
    <row r="451">
      <c r="B451" s="242"/>
    </row>
    <row r="452">
      <c r="B452" s="242"/>
    </row>
    <row r="453">
      <c r="B453" s="242"/>
    </row>
    <row r="454">
      <c r="B454" s="242"/>
    </row>
    <row r="455">
      <c r="B455" s="242"/>
    </row>
    <row r="456">
      <c r="B456" s="242"/>
    </row>
    <row r="457">
      <c r="B457" s="242"/>
    </row>
    <row r="458">
      <c r="B458" s="242"/>
    </row>
    <row r="459">
      <c r="B459" s="242"/>
    </row>
    <row r="460">
      <c r="B460" s="242"/>
    </row>
    <row r="461">
      <c r="B461" s="242"/>
    </row>
    <row r="462">
      <c r="B462" s="242"/>
    </row>
    <row r="463">
      <c r="B463" s="242"/>
    </row>
    <row r="464">
      <c r="B464" s="242"/>
    </row>
    <row r="465">
      <c r="B465" s="242"/>
    </row>
    <row r="466">
      <c r="B466" s="242"/>
    </row>
    <row r="467">
      <c r="B467" s="242"/>
    </row>
    <row r="468">
      <c r="B468" s="242"/>
    </row>
    <row r="469">
      <c r="B469" s="242"/>
    </row>
    <row r="470">
      <c r="B470" s="242"/>
    </row>
    <row r="471">
      <c r="B471" s="242"/>
    </row>
    <row r="472">
      <c r="B472" s="242"/>
    </row>
    <row r="473">
      <c r="B473" s="242"/>
    </row>
    <row r="474">
      <c r="B474" s="242"/>
    </row>
    <row r="475">
      <c r="B475" s="242"/>
    </row>
    <row r="476">
      <c r="B476" s="242"/>
    </row>
    <row r="477">
      <c r="B477" s="242"/>
    </row>
    <row r="478">
      <c r="B478" s="242"/>
    </row>
    <row r="479">
      <c r="B479" s="242"/>
    </row>
    <row r="480">
      <c r="B480" s="242"/>
    </row>
    <row r="481">
      <c r="B481" s="242"/>
    </row>
    <row r="482">
      <c r="B482" s="242"/>
    </row>
    <row r="483">
      <c r="B483" s="242"/>
    </row>
    <row r="484">
      <c r="B484" s="242"/>
    </row>
    <row r="485">
      <c r="B485" s="242"/>
    </row>
    <row r="486">
      <c r="B486" s="242"/>
    </row>
    <row r="487">
      <c r="B487" s="242"/>
    </row>
    <row r="488">
      <c r="B488" s="242"/>
    </row>
    <row r="489">
      <c r="B489" s="242"/>
    </row>
    <row r="490">
      <c r="B490" s="242"/>
    </row>
    <row r="491">
      <c r="B491" s="242"/>
    </row>
    <row r="492">
      <c r="B492" s="242"/>
    </row>
    <row r="493">
      <c r="B493" s="242"/>
    </row>
    <row r="494">
      <c r="B494" s="242"/>
    </row>
    <row r="495">
      <c r="B495" s="242"/>
    </row>
    <row r="496">
      <c r="B496" s="242"/>
    </row>
    <row r="497">
      <c r="B497" s="242"/>
    </row>
    <row r="498">
      <c r="B498" s="242"/>
    </row>
    <row r="499">
      <c r="B499" s="242"/>
    </row>
    <row r="500">
      <c r="B500" s="242"/>
    </row>
    <row r="501">
      <c r="B501" s="242"/>
    </row>
    <row r="502">
      <c r="B502" s="242"/>
    </row>
    <row r="503">
      <c r="B503" s="242"/>
    </row>
    <row r="504">
      <c r="B504" s="242"/>
    </row>
    <row r="505">
      <c r="B505" s="242"/>
    </row>
    <row r="506">
      <c r="B506" s="242"/>
    </row>
    <row r="507">
      <c r="B507" s="242"/>
    </row>
    <row r="508">
      <c r="B508" s="242"/>
    </row>
    <row r="509">
      <c r="B509" s="242"/>
    </row>
    <row r="510">
      <c r="B510" s="242"/>
    </row>
    <row r="511">
      <c r="B511" s="242"/>
    </row>
    <row r="512">
      <c r="B512" s="242"/>
    </row>
    <row r="513">
      <c r="B513" s="242"/>
    </row>
    <row r="514">
      <c r="B514" s="242"/>
    </row>
    <row r="515">
      <c r="B515" s="242"/>
    </row>
    <row r="516">
      <c r="B516" s="242"/>
    </row>
    <row r="517">
      <c r="B517" s="242"/>
    </row>
    <row r="518">
      <c r="B518" s="242"/>
    </row>
    <row r="519">
      <c r="B519" s="242"/>
    </row>
    <row r="520">
      <c r="B520" s="242"/>
    </row>
    <row r="521">
      <c r="B521" s="242"/>
    </row>
    <row r="522">
      <c r="B522" s="242"/>
    </row>
    <row r="523">
      <c r="B523" s="242"/>
    </row>
    <row r="524">
      <c r="B524" s="242"/>
    </row>
    <row r="525">
      <c r="B525" s="242"/>
    </row>
    <row r="526">
      <c r="B526" s="242"/>
    </row>
    <row r="527">
      <c r="B527" s="242"/>
    </row>
    <row r="528">
      <c r="B528" s="242"/>
    </row>
    <row r="529">
      <c r="B529" s="242"/>
    </row>
    <row r="530">
      <c r="B530" s="242"/>
    </row>
    <row r="531">
      <c r="B531" s="242"/>
    </row>
    <row r="532">
      <c r="B532" s="242"/>
    </row>
    <row r="533">
      <c r="B533" s="242"/>
    </row>
    <row r="534">
      <c r="B534" s="242"/>
    </row>
    <row r="535">
      <c r="B535" s="242"/>
    </row>
    <row r="536">
      <c r="B536" s="242"/>
    </row>
    <row r="537">
      <c r="B537" s="242"/>
    </row>
    <row r="538">
      <c r="B538" s="242"/>
    </row>
    <row r="539">
      <c r="B539" s="242"/>
    </row>
    <row r="540">
      <c r="B540" s="242"/>
    </row>
    <row r="541">
      <c r="B541" s="242"/>
    </row>
    <row r="542">
      <c r="B542" s="242"/>
    </row>
    <row r="543">
      <c r="B543" s="242"/>
    </row>
    <row r="544">
      <c r="B544" s="242"/>
    </row>
    <row r="545">
      <c r="B545" s="242"/>
    </row>
    <row r="546">
      <c r="B546" s="242"/>
    </row>
    <row r="547">
      <c r="B547" s="242"/>
    </row>
    <row r="548">
      <c r="B548" s="242"/>
    </row>
    <row r="549">
      <c r="B549" s="242"/>
    </row>
    <row r="550">
      <c r="B550" s="242"/>
    </row>
    <row r="551">
      <c r="B551" s="242"/>
    </row>
    <row r="552">
      <c r="B552" s="242"/>
    </row>
    <row r="553">
      <c r="B553" s="242"/>
    </row>
    <row r="554">
      <c r="B554" s="242"/>
    </row>
    <row r="555">
      <c r="B555" s="242"/>
    </row>
    <row r="556">
      <c r="B556" s="242"/>
    </row>
    <row r="557">
      <c r="B557" s="242"/>
    </row>
    <row r="558">
      <c r="B558" s="242"/>
    </row>
    <row r="559">
      <c r="B559" s="242"/>
    </row>
    <row r="560">
      <c r="B560" s="242"/>
    </row>
    <row r="561">
      <c r="B561" s="242"/>
    </row>
    <row r="562">
      <c r="B562" s="242"/>
    </row>
    <row r="563">
      <c r="B563" s="242"/>
    </row>
    <row r="564">
      <c r="B564" s="242"/>
    </row>
    <row r="565">
      <c r="B565" s="242"/>
    </row>
    <row r="566">
      <c r="B566" s="242"/>
    </row>
    <row r="567">
      <c r="B567" s="242"/>
    </row>
    <row r="568">
      <c r="B568" s="242"/>
    </row>
    <row r="569">
      <c r="B569" s="242"/>
    </row>
    <row r="570">
      <c r="B570" s="242"/>
    </row>
    <row r="571">
      <c r="B571" s="242"/>
    </row>
    <row r="572">
      <c r="B572" s="242"/>
    </row>
    <row r="573">
      <c r="B573" s="242"/>
    </row>
    <row r="574">
      <c r="B574" s="242"/>
    </row>
    <row r="575">
      <c r="B575" s="242"/>
    </row>
    <row r="576">
      <c r="B576" s="242"/>
    </row>
    <row r="577">
      <c r="B577" s="242"/>
    </row>
    <row r="578">
      <c r="B578" s="242"/>
    </row>
    <row r="579">
      <c r="B579" s="242"/>
    </row>
    <row r="580">
      <c r="B580" s="242"/>
    </row>
    <row r="581">
      <c r="B581" s="242"/>
    </row>
    <row r="582">
      <c r="B582" s="242"/>
    </row>
    <row r="583">
      <c r="B583" s="242"/>
    </row>
    <row r="584">
      <c r="B584" s="242"/>
    </row>
    <row r="585">
      <c r="B585" s="242"/>
    </row>
    <row r="586">
      <c r="B586" s="242"/>
    </row>
    <row r="587">
      <c r="B587" s="242"/>
    </row>
    <row r="588">
      <c r="B588" s="242"/>
    </row>
    <row r="589">
      <c r="B589" s="242"/>
    </row>
    <row r="590">
      <c r="B590" s="242"/>
    </row>
    <row r="591">
      <c r="B591" s="242"/>
    </row>
    <row r="592">
      <c r="B592" s="242"/>
    </row>
    <row r="593">
      <c r="B593" s="242"/>
    </row>
    <row r="594">
      <c r="B594" s="242"/>
    </row>
    <row r="595">
      <c r="B595" s="242"/>
    </row>
    <row r="596">
      <c r="B596" s="242"/>
    </row>
    <row r="597">
      <c r="B597" s="242"/>
    </row>
    <row r="598">
      <c r="B598" s="242"/>
    </row>
    <row r="599">
      <c r="B599" s="242"/>
    </row>
    <row r="600">
      <c r="B600" s="242"/>
    </row>
    <row r="601">
      <c r="B601" s="242"/>
    </row>
    <row r="602">
      <c r="B602" s="242"/>
    </row>
    <row r="603">
      <c r="B603" s="242"/>
    </row>
    <row r="604">
      <c r="B604" s="242"/>
    </row>
    <row r="605">
      <c r="B605" s="242"/>
    </row>
    <row r="606">
      <c r="B606" s="242"/>
    </row>
    <row r="607">
      <c r="B607" s="242"/>
    </row>
    <row r="608">
      <c r="B608" s="242"/>
    </row>
    <row r="609">
      <c r="B609" s="242"/>
    </row>
    <row r="610">
      <c r="B610" s="242"/>
    </row>
    <row r="611">
      <c r="B611" s="242"/>
    </row>
    <row r="612">
      <c r="B612" s="242"/>
    </row>
    <row r="613">
      <c r="B613" s="242"/>
    </row>
    <row r="614">
      <c r="B614" s="242"/>
    </row>
    <row r="615">
      <c r="B615" s="242"/>
    </row>
    <row r="616">
      <c r="B616" s="242"/>
    </row>
    <row r="617">
      <c r="B617" s="242"/>
    </row>
    <row r="618">
      <c r="B618" s="242"/>
    </row>
    <row r="619">
      <c r="B619" s="242"/>
    </row>
    <row r="620">
      <c r="B620" s="242"/>
    </row>
    <row r="621">
      <c r="B621" s="242"/>
    </row>
    <row r="622">
      <c r="B622" s="242"/>
    </row>
    <row r="623">
      <c r="B623" s="242"/>
    </row>
    <row r="624">
      <c r="B624" s="242"/>
    </row>
    <row r="625">
      <c r="B625" s="242"/>
    </row>
    <row r="626">
      <c r="B626" s="242"/>
    </row>
    <row r="627">
      <c r="B627" s="242"/>
    </row>
    <row r="628">
      <c r="B628" s="242"/>
    </row>
    <row r="629">
      <c r="B629" s="242"/>
    </row>
    <row r="630">
      <c r="B630" s="242"/>
    </row>
    <row r="631">
      <c r="B631" s="242"/>
    </row>
    <row r="632">
      <c r="B632" s="242"/>
    </row>
    <row r="633">
      <c r="B633" s="242"/>
    </row>
    <row r="634">
      <c r="B634" s="242"/>
    </row>
    <row r="635">
      <c r="B635" s="242"/>
    </row>
    <row r="636">
      <c r="B636" s="242"/>
    </row>
    <row r="637">
      <c r="B637" s="242"/>
    </row>
    <row r="638">
      <c r="B638" s="242"/>
    </row>
    <row r="639">
      <c r="B639" s="242"/>
    </row>
    <row r="640">
      <c r="B640" s="242"/>
    </row>
    <row r="641">
      <c r="B641" s="242"/>
    </row>
    <row r="642">
      <c r="B642" s="242"/>
    </row>
    <row r="643">
      <c r="B643" s="242"/>
    </row>
    <row r="644">
      <c r="B644" s="242"/>
    </row>
    <row r="645">
      <c r="B645" s="242"/>
    </row>
    <row r="646">
      <c r="B646" s="242"/>
    </row>
    <row r="647">
      <c r="B647" s="242"/>
    </row>
    <row r="648">
      <c r="B648" s="242"/>
    </row>
    <row r="649">
      <c r="B649" s="242"/>
    </row>
    <row r="650">
      <c r="B650" s="242"/>
    </row>
    <row r="651">
      <c r="B651" s="242"/>
    </row>
    <row r="652">
      <c r="B652" s="242"/>
    </row>
    <row r="653">
      <c r="B653" s="242"/>
    </row>
    <row r="654">
      <c r="B654" s="242"/>
    </row>
    <row r="655">
      <c r="B655" s="242"/>
    </row>
    <row r="656">
      <c r="B656" s="242"/>
    </row>
    <row r="657">
      <c r="B657" s="242"/>
    </row>
    <row r="658">
      <c r="B658" s="242"/>
    </row>
    <row r="659">
      <c r="B659" s="242"/>
    </row>
    <row r="660">
      <c r="B660" s="242"/>
    </row>
    <row r="661">
      <c r="B661" s="242"/>
    </row>
    <row r="662">
      <c r="B662" s="242"/>
    </row>
    <row r="663">
      <c r="B663" s="242"/>
    </row>
    <row r="664">
      <c r="B664" s="242"/>
    </row>
    <row r="665">
      <c r="B665" s="242"/>
    </row>
    <row r="666">
      <c r="B666" s="242"/>
    </row>
    <row r="667">
      <c r="B667" s="242"/>
    </row>
    <row r="668">
      <c r="B668" s="242"/>
    </row>
    <row r="669">
      <c r="B669" s="242"/>
    </row>
    <row r="670">
      <c r="B670" s="242"/>
    </row>
    <row r="671">
      <c r="B671" s="242"/>
    </row>
    <row r="672">
      <c r="B672" s="242"/>
    </row>
    <row r="673">
      <c r="B673" s="242"/>
    </row>
    <row r="674">
      <c r="B674" s="242"/>
    </row>
    <row r="675">
      <c r="B675" s="242"/>
    </row>
    <row r="676">
      <c r="B676" s="242"/>
    </row>
    <row r="677">
      <c r="B677" s="242"/>
    </row>
    <row r="678">
      <c r="B678" s="242"/>
    </row>
    <row r="679">
      <c r="B679" s="242"/>
    </row>
    <row r="680">
      <c r="B680" s="242"/>
    </row>
    <row r="681">
      <c r="B681" s="242"/>
    </row>
    <row r="682">
      <c r="B682" s="242"/>
    </row>
    <row r="683">
      <c r="B683" s="242"/>
    </row>
    <row r="684">
      <c r="B684" s="242"/>
    </row>
    <row r="685">
      <c r="B685" s="242"/>
    </row>
    <row r="686">
      <c r="B686" s="242"/>
    </row>
    <row r="687">
      <c r="B687" s="242"/>
    </row>
    <row r="688">
      <c r="B688" s="242"/>
    </row>
    <row r="689">
      <c r="B689" s="242"/>
    </row>
    <row r="690">
      <c r="B690" s="242"/>
    </row>
    <row r="691">
      <c r="B691" s="242"/>
    </row>
    <row r="692">
      <c r="B692" s="242"/>
    </row>
    <row r="693">
      <c r="B693" s="242"/>
    </row>
    <row r="694">
      <c r="B694" s="242"/>
    </row>
    <row r="695">
      <c r="B695" s="242"/>
    </row>
    <row r="696">
      <c r="B696" s="242"/>
    </row>
    <row r="697">
      <c r="B697" s="242"/>
    </row>
    <row r="698">
      <c r="B698" s="242"/>
    </row>
    <row r="699">
      <c r="B699" s="242"/>
    </row>
    <row r="700">
      <c r="B700" s="242"/>
    </row>
    <row r="701">
      <c r="B701" s="242"/>
    </row>
    <row r="702">
      <c r="B702" s="242"/>
    </row>
    <row r="703">
      <c r="B703" s="242"/>
    </row>
    <row r="704">
      <c r="B704" s="242"/>
    </row>
    <row r="705">
      <c r="B705" s="242"/>
    </row>
    <row r="706">
      <c r="B706" s="242"/>
    </row>
    <row r="707">
      <c r="B707" s="242"/>
    </row>
    <row r="708">
      <c r="B708" s="242"/>
    </row>
    <row r="709">
      <c r="B709" s="242"/>
    </row>
    <row r="710">
      <c r="B710" s="242"/>
    </row>
    <row r="711">
      <c r="B711" s="242"/>
    </row>
    <row r="712">
      <c r="B712" s="242"/>
    </row>
    <row r="713">
      <c r="B713" s="242"/>
    </row>
    <row r="714">
      <c r="B714" s="242"/>
    </row>
    <row r="715">
      <c r="B715" s="242"/>
    </row>
    <row r="716">
      <c r="B716" s="242"/>
    </row>
    <row r="717">
      <c r="B717" s="242"/>
    </row>
    <row r="718">
      <c r="B718" s="242"/>
    </row>
    <row r="719">
      <c r="B719" s="242"/>
    </row>
    <row r="720">
      <c r="B720" s="242"/>
    </row>
    <row r="721">
      <c r="B721" s="242"/>
    </row>
    <row r="722">
      <c r="B722" s="242"/>
    </row>
    <row r="723">
      <c r="B723" s="242"/>
    </row>
    <row r="724">
      <c r="B724" s="242"/>
    </row>
    <row r="725">
      <c r="B725" s="242"/>
    </row>
    <row r="726">
      <c r="B726" s="242"/>
    </row>
    <row r="727">
      <c r="B727" s="242"/>
    </row>
    <row r="728">
      <c r="B728" s="242"/>
    </row>
    <row r="729">
      <c r="B729" s="242"/>
    </row>
    <row r="730">
      <c r="B730" s="242"/>
    </row>
    <row r="731">
      <c r="B731" s="242"/>
    </row>
    <row r="732">
      <c r="B732" s="242"/>
    </row>
    <row r="733">
      <c r="B733" s="242"/>
    </row>
    <row r="734">
      <c r="B734" s="242"/>
    </row>
    <row r="735">
      <c r="B735" s="242"/>
    </row>
    <row r="736">
      <c r="B736" s="242"/>
    </row>
    <row r="737">
      <c r="B737" s="242"/>
    </row>
    <row r="738">
      <c r="B738" s="242"/>
    </row>
    <row r="739">
      <c r="B739" s="242"/>
    </row>
    <row r="740">
      <c r="B740" s="242"/>
    </row>
    <row r="741">
      <c r="B741" s="242"/>
    </row>
    <row r="742">
      <c r="B742" s="242"/>
    </row>
    <row r="743">
      <c r="B743" s="242"/>
    </row>
    <row r="744">
      <c r="B744" s="242"/>
    </row>
    <row r="745">
      <c r="B745" s="242"/>
    </row>
    <row r="746">
      <c r="B746" s="242"/>
    </row>
    <row r="747">
      <c r="B747" s="242"/>
    </row>
    <row r="748">
      <c r="B748" s="242"/>
    </row>
    <row r="749">
      <c r="B749" s="242"/>
    </row>
    <row r="750">
      <c r="B750" s="242"/>
    </row>
    <row r="751">
      <c r="B751" s="242"/>
    </row>
    <row r="752">
      <c r="B752" s="242"/>
    </row>
    <row r="753">
      <c r="B753" s="242"/>
    </row>
    <row r="754">
      <c r="B754" s="242"/>
    </row>
    <row r="755">
      <c r="B755" s="242"/>
    </row>
    <row r="756">
      <c r="B756" s="242"/>
    </row>
    <row r="757">
      <c r="B757" s="242"/>
    </row>
    <row r="758">
      <c r="B758" s="242"/>
    </row>
    <row r="759">
      <c r="B759" s="242"/>
    </row>
    <row r="760">
      <c r="B760" s="242"/>
    </row>
    <row r="761">
      <c r="B761" s="242"/>
    </row>
    <row r="762">
      <c r="B762" s="242"/>
    </row>
    <row r="763">
      <c r="B763" s="242"/>
    </row>
    <row r="764">
      <c r="B764" s="242"/>
    </row>
    <row r="765">
      <c r="B765" s="242"/>
    </row>
    <row r="766">
      <c r="B766" s="242"/>
    </row>
    <row r="767">
      <c r="B767" s="242"/>
    </row>
    <row r="768">
      <c r="B768" s="242"/>
    </row>
    <row r="769">
      <c r="B769" s="242"/>
    </row>
    <row r="770">
      <c r="B770" s="242"/>
    </row>
    <row r="771">
      <c r="B771" s="242"/>
    </row>
    <row r="772">
      <c r="B772" s="242"/>
    </row>
    <row r="773">
      <c r="B773" s="242"/>
    </row>
    <row r="774">
      <c r="B774" s="242"/>
    </row>
    <row r="775">
      <c r="B775" s="242"/>
    </row>
    <row r="776">
      <c r="B776" s="242"/>
    </row>
    <row r="777">
      <c r="B777" s="242"/>
    </row>
    <row r="778">
      <c r="B778" s="242"/>
    </row>
    <row r="779">
      <c r="B779" s="242"/>
    </row>
    <row r="780">
      <c r="B780" s="242"/>
    </row>
    <row r="781">
      <c r="B781" s="242"/>
    </row>
    <row r="782">
      <c r="B782" s="242"/>
    </row>
    <row r="783">
      <c r="B783" s="242"/>
    </row>
    <row r="784">
      <c r="B784" s="242"/>
    </row>
    <row r="785">
      <c r="B785" s="242"/>
    </row>
    <row r="786">
      <c r="B786" s="242"/>
    </row>
    <row r="787">
      <c r="B787" s="242"/>
    </row>
    <row r="788">
      <c r="B788" s="242"/>
    </row>
    <row r="789">
      <c r="B789" s="242"/>
    </row>
    <row r="790">
      <c r="B790" s="242"/>
    </row>
    <row r="791">
      <c r="B791" s="242"/>
    </row>
    <row r="792">
      <c r="B792" s="242"/>
    </row>
    <row r="793">
      <c r="B793" s="242"/>
    </row>
    <row r="794">
      <c r="B794" s="242"/>
    </row>
    <row r="795">
      <c r="B795" s="242"/>
    </row>
    <row r="796">
      <c r="B796" s="242"/>
    </row>
    <row r="797">
      <c r="B797" s="242"/>
    </row>
    <row r="798">
      <c r="B798" s="242"/>
    </row>
    <row r="799">
      <c r="B799" s="242"/>
    </row>
    <row r="800">
      <c r="B800" s="242"/>
    </row>
    <row r="801">
      <c r="B801" s="242"/>
    </row>
    <row r="802">
      <c r="B802" s="242"/>
    </row>
    <row r="803">
      <c r="B803" s="242"/>
    </row>
    <row r="804">
      <c r="B804" s="242"/>
    </row>
    <row r="805">
      <c r="B805" s="242"/>
    </row>
    <row r="806">
      <c r="B806" s="242"/>
    </row>
    <row r="807">
      <c r="B807" s="242"/>
    </row>
    <row r="808">
      <c r="B808" s="242"/>
    </row>
    <row r="809">
      <c r="B809" s="242"/>
    </row>
    <row r="810">
      <c r="B810" s="242"/>
    </row>
    <row r="811">
      <c r="B811" s="242"/>
    </row>
    <row r="812">
      <c r="B812" s="242"/>
    </row>
    <row r="813">
      <c r="B813" s="242"/>
    </row>
    <row r="814">
      <c r="B814" s="242"/>
    </row>
    <row r="815">
      <c r="B815" s="242"/>
    </row>
    <row r="816">
      <c r="B816" s="242"/>
    </row>
    <row r="817">
      <c r="B817" s="242"/>
    </row>
    <row r="818">
      <c r="B818" s="242"/>
    </row>
    <row r="819">
      <c r="B819" s="242"/>
    </row>
    <row r="820">
      <c r="B820" s="242"/>
    </row>
    <row r="821">
      <c r="B821" s="242"/>
    </row>
    <row r="822">
      <c r="B822" s="242"/>
    </row>
    <row r="823">
      <c r="B823" s="242"/>
    </row>
    <row r="824">
      <c r="B824" s="242"/>
    </row>
    <row r="825">
      <c r="B825" s="242"/>
    </row>
    <row r="826">
      <c r="B826" s="242"/>
    </row>
    <row r="827">
      <c r="B827" s="242"/>
    </row>
    <row r="828">
      <c r="B828" s="242"/>
    </row>
    <row r="829">
      <c r="B829" s="242"/>
    </row>
    <row r="830">
      <c r="B830" s="242"/>
    </row>
    <row r="831">
      <c r="B831" s="242"/>
    </row>
    <row r="832">
      <c r="B832" s="242"/>
    </row>
    <row r="833">
      <c r="B833" s="242"/>
    </row>
    <row r="834">
      <c r="B834" s="242"/>
    </row>
    <row r="835">
      <c r="B835" s="242"/>
    </row>
    <row r="836">
      <c r="B836" s="242"/>
    </row>
    <row r="837">
      <c r="B837" s="242"/>
    </row>
    <row r="838">
      <c r="B838" s="242"/>
    </row>
    <row r="839">
      <c r="B839" s="242"/>
    </row>
    <row r="840">
      <c r="B840" s="242"/>
    </row>
    <row r="841">
      <c r="B841" s="242"/>
    </row>
    <row r="842">
      <c r="B842" s="242"/>
    </row>
    <row r="843">
      <c r="B843" s="242"/>
    </row>
    <row r="844">
      <c r="B844" s="242"/>
    </row>
    <row r="845">
      <c r="B845" s="242"/>
    </row>
    <row r="846">
      <c r="B846" s="242"/>
    </row>
    <row r="847">
      <c r="B847" s="242"/>
    </row>
    <row r="848">
      <c r="B848" s="242"/>
    </row>
    <row r="849">
      <c r="B849" s="242"/>
    </row>
    <row r="850">
      <c r="B850" s="242"/>
    </row>
    <row r="851">
      <c r="B851" s="242"/>
    </row>
    <row r="852">
      <c r="B852" s="242"/>
    </row>
    <row r="853">
      <c r="B853" s="242"/>
    </row>
    <row r="854">
      <c r="B854" s="242"/>
    </row>
    <row r="855">
      <c r="B855" s="242"/>
    </row>
    <row r="856">
      <c r="B856" s="242"/>
    </row>
    <row r="857">
      <c r="B857" s="242"/>
    </row>
    <row r="858">
      <c r="B858" s="242"/>
    </row>
    <row r="859">
      <c r="B859" s="242"/>
    </row>
    <row r="860">
      <c r="B860" s="242"/>
    </row>
    <row r="861">
      <c r="B861" s="242"/>
    </row>
    <row r="862">
      <c r="B862" s="242"/>
    </row>
    <row r="863">
      <c r="B863" s="242"/>
    </row>
    <row r="864">
      <c r="B864" s="242"/>
    </row>
    <row r="865">
      <c r="B865" s="242"/>
    </row>
    <row r="866">
      <c r="B866" s="242"/>
    </row>
    <row r="867">
      <c r="B867" s="242"/>
    </row>
    <row r="868">
      <c r="B868" s="242"/>
    </row>
    <row r="869">
      <c r="B869" s="242"/>
    </row>
    <row r="870">
      <c r="B870" s="242"/>
    </row>
    <row r="871">
      <c r="B871" s="242"/>
    </row>
    <row r="872">
      <c r="B872" s="242"/>
    </row>
    <row r="873">
      <c r="B873" s="242"/>
    </row>
    <row r="874">
      <c r="B874" s="242"/>
    </row>
    <row r="875">
      <c r="B875" s="242"/>
    </row>
    <row r="876">
      <c r="B876" s="242"/>
    </row>
    <row r="877">
      <c r="B877" s="242"/>
    </row>
    <row r="878">
      <c r="B878" s="242"/>
    </row>
    <row r="879">
      <c r="B879" s="242"/>
    </row>
    <row r="880">
      <c r="B880" s="242"/>
    </row>
    <row r="881">
      <c r="B881" s="242"/>
    </row>
    <row r="882">
      <c r="B882" s="242"/>
    </row>
    <row r="883">
      <c r="B883" s="242"/>
    </row>
    <row r="884">
      <c r="B884" s="242"/>
    </row>
    <row r="885">
      <c r="B885" s="242"/>
    </row>
    <row r="886">
      <c r="B886" s="242"/>
    </row>
    <row r="887">
      <c r="B887" s="242"/>
    </row>
    <row r="888">
      <c r="B888" s="242"/>
    </row>
    <row r="889">
      <c r="B889" s="242"/>
    </row>
    <row r="890">
      <c r="B890" s="242"/>
    </row>
    <row r="891">
      <c r="B891" s="242"/>
    </row>
    <row r="892">
      <c r="B892" s="242"/>
    </row>
    <row r="893">
      <c r="B893" s="242"/>
    </row>
    <row r="894">
      <c r="B894" s="242"/>
    </row>
    <row r="895">
      <c r="B895" s="242"/>
    </row>
    <row r="896">
      <c r="B896" s="242"/>
    </row>
    <row r="897">
      <c r="B897" s="242"/>
    </row>
    <row r="898">
      <c r="B898" s="242"/>
    </row>
    <row r="899">
      <c r="B899" s="242"/>
    </row>
    <row r="900">
      <c r="B900" s="242"/>
    </row>
    <row r="901">
      <c r="B901" s="242"/>
    </row>
    <row r="902">
      <c r="B902" s="242"/>
    </row>
    <row r="903">
      <c r="B903" s="242"/>
    </row>
    <row r="904">
      <c r="B904" s="242"/>
    </row>
    <row r="905">
      <c r="B905" s="242"/>
    </row>
    <row r="906">
      <c r="B906" s="242"/>
    </row>
    <row r="907">
      <c r="B907" s="242"/>
    </row>
    <row r="908">
      <c r="B908" s="242"/>
    </row>
    <row r="909">
      <c r="B909" s="242"/>
    </row>
    <row r="910">
      <c r="B910" s="242"/>
    </row>
    <row r="911">
      <c r="B911" s="242"/>
    </row>
    <row r="912">
      <c r="B912" s="242"/>
    </row>
    <row r="913">
      <c r="B913" s="242"/>
    </row>
    <row r="914">
      <c r="B914" s="242"/>
    </row>
    <row r="915">
      <c r="B915" s="242"/>
    </row>
    <row r="916">
      <c r="B916" s="242"/>
    </row>
    <row r="917">
      <c r="B917" s="242"/>
    </row>
    <row r="918">
      <c r="B918" s="242"/>
    </row>
    <row r="919">
      <c r="B919" s="242"/>
    </row>
    <row r="920">
      <c r="B920" s="242"/>
    </row>
    <row r="921">
      <c r="B921" s="242"/>
    </row>
    <row r="922">
      <c r="B922" s="242"/>
    </row>
    <row r="923">
      <c r="B923" s="242"/>
    </row>
    <row r="924">
      <c r="B924" s="242"/>
    </row>
    <row r="925">
      <c r="B925" s="242"/>
    </row>
    <row r="926">
      <c r="B926" s="242"/>
    </row>
    <row r="927">
      <c r="B927" s="242"/>
    </row>
    <row r="928">
      <c r="B928" s="242"/>
    </row>
    <row r="929">
      <c r="B929" s="242"/>
    </row>
    <row r="930">
      <c r="B930" s="242"/>
    </row>
    <row r="931">
      <c r="B931" s="242"/>
    </row>
    <row r="932">
      <c r="B932" s="242"/>
    </row>
    <row r="933">
      <c r="B933" s="242"/>
    </row>
    <row r="934">
      <c r="B934" s="242"/>
    </row>
    <row r="935">
      <c r="B935" s="242"/>
    </row>
    <row r="936">
      <c r="B936" s="242"/>
    </row>
    <row r="937">
      <c r="B937" s="242"/>
    </row>
    <row r="938">
      <c r="B938" s="242"/>
    </row>
    <row r="939">
      <c r="B939" s="242"/>
    </row>
    <row r="940">
      <c r="B940" s="242"/>
    </row>
    <row r="941">
      <c r="B941" s="242"/>
    </row>
    <row r="942">
      <c r="B942" s="242"/>
    </row>
    <row r="943">
      <c r="B943" s="242"/>
    </row>
    <row r="944">
      <c r="B944" s="242"/>
    </row>
    <row r="945">
      <c r="B945" s="242"/>
    </row>
    <row r="946">
      <c r="B946" s="242"/>
    </row>
    <row r="947">
      <c r="B947" s="242"/>
    </row>
    <row r="948">
      <c r="B948" s="242"/>
    </row>
    <row r="949">
      <c r="B949" s="242"/>
    </row>
    <row r="950">
      <c r="B950" s="242"/>
    </row>
    <row r="951">
      <c r="B951" s="242"/>
    </row>
    <row r="952">
      <c r="B952" s="242"/>
    </row>
    <row r="953">
      <c r="B953" s="242"/>
    </row>
    <row r="954">
      <c r="B954" s="242"/>
    </row>
    <row r="955">
      <c r="B955" s="242"/>
    </row>
    <row r="956">
      <c r="B956" s="242"/>
    </row>
    <row r="957">
      <c r="B957" s="242"/>
    </row>
    <row r="958">
      <c r="B958" s="242"/>
    </row>
    <row r="959">
      <c r="B959" s="242"/>
    </row>
    <row r="960">
      <c r="B960" s="242"/>
    </row>
    <row r="961">
      <c r="B961" s="242"/>
    </row>
    <row r="962">
      <c r="B962" s="242"/>
    </row>
    <row r="963">
      <c r="B963" s="242"/>
    </row>
    <row r="964">
      <c r="B964" s="242"/>
    </row>
    <row r="965">
      <c r="B965" s="242"/>
    </row>
    <row r="966">
      <c r="B966" s="242"/>
    </row>
    <row r="967">
      <c r="B967" s="242"/>
    </row>
    <row r="968">
      <c r="B968" s="242"/>
    </row>
    <row r="969">
      <c r="B969" s="242"/>
    </row>
    <row r="970">
      <c r="B970" s="242"/>
    </row>
    <row r="971">
      <c r="B971" s="242"/>
    </row>
    <row r="972">
      <c r="B972" s="242"/>
    </row>
    <row r="973">
      <c r="B973" s="242"/>
    </row>
    <row r="974">
      <c r="B974" s="242"/>
    </row>
    <row r="975">
      <c r="B975" s="242"/>
    </row>
    <row r="976">
      <c r="B976" s="242"/>
    </row>
    <row r="977">
      <c r="B977" s="242"/>
    </row>
    <row r="978">
      <c r="B978" s="242"/>
    </row>
    <row r="979">
      <c r="B979" s="242"/>
    </row>
    <row r="980">
      <c r="B980" s="242"/>
    </row>
    <row r="981">
      <c r="B981" s="242"/>
    </row>
    <row r="982">
      <c r="B982" s="242"/>
    </row>
    <row r="983">
      <c r="B983" s="242"/>
    </row>
    <row r="984">
      <c r="B984" s="242"/>
    </row>
    <row r="985">
      <c r="B985" s="242"/>
    </row>
    <row r="986">
      <c r="B986" s="242"/>
    </row>
    <row r="987">
      <c r="B987" s="242"/>
    </row>
    <row r="988">
      <c r="B988" s="242"/>
    </row>
    <row r="989">
      <c r="B989" s="242"/>
    </row>
    <row r="990">
      <c r="B990" s="242"/>
    </row>
    <row r="991">
      <c r="B991" s="242"/>
    </row>
    <row r="992">
      <c r="B992" s="242"/>
    </row>
    <row r="993">
      <c r="B993" s="242"/>
    </row>
    <row r="994">
      <c r="B994" s="242"/>
    </row>
    <row r="995">
      <c r="B995" s="242"/>
    </row>
    <row r="996">
      <c r="B996" s="242"/>
    </row>
    <row r="997">
      <c r="B997" s="242"/>
    </row>
    <row r="998">
      <c r="B998" s="242"/>
    </row>
    <row r="999">
      <c r="B999" s="242"/>
    </row>
    <row r="1000">
      <c r="B1000" s="242"/>
    </row>
    <row r="1001">
      <c r="B1001" s="242"/>
    </row>
    <row r="1002">
      <c r="B1002" s="242"/>
    </row>
    <row r="1003">
      <c r="B1003" s="242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25.38"/>
    <col customWidth="1" min="7" max="7" width="20.25"/>
  </cols>
  <sheetData>
    <row r="1">
      <c r="A1" s="243" t="s">
        <v>262</v>
      </c>
      <c r="B1" s="83"/>
      <c r="C1" s="83"/>
      <c r="D1" s="83"/>
      <c r="E1" s="83"/>
      <c r="F1" s="84"/>
    </row>
    <row r="2">
      <c r="A2" s="244" t="s">
        <v>263</v>
      </c>
      <c r="B2" s="245" t="s">
        <v>264</v>
      </c>
      <c r="C2" s="245" t="s">
        <v>265</v>
      </c>
      <c r="D2" s="246" t="s">
        <v>266</v>
      </c>
      <c r="E2" s="84"/>
      <c r="F2" s="247" t="s">
        <v>267</v>
      </c>
    </row>
    <row r="3">
      <c r="A3" s="22"/>
      <c r="B3" s="22"/>
      <c r="C3" s="22"/>
      <c r="D3" s="248" t="s">
        <v>157</v>
      </c>
      <c r="E3" s="248" t="s">
        <v>268</v>
      </c>
      <c r="F3" s="22"/>
    </row>
    <row r="4">
      <c r="A4" s="249">
        <v>45597.0</v>
      </c>
      <c r="B4" s="60" t="s">
        <v>269</v>
      </c>
      <c r="C4" s="5">
        <v>2050.0</v>
      </c>
      <c r="D4" s="250"/>
      <c r="E4" s="251"/>
      <c r="F4" s="252">
        <f>$C4-$D4</f>
        <v>2050</v>
      </c>
    </row>
    <row r="5">
      <c r="A5" s="253">
        <v>45601.0</v>
      </c>
      <c r="B5" s="60" t="s">
        <v>270</v>
      </c>
      <c r="C5" s="5">
        <v>9105.0</v>
      </c>
      <c r="D5" s="250"/>
      <c r="E5" s="251"/>
      <c r="F5" s="252">
        <f t="shared" ref="F5:F444" si="1">$F4+$C5-$D5</f>
        <v>11155</v>
      </c>
    </row>
    <row r="6">
      <c r="A6" s="18"/>
      <c r="B6" s="60" t="s">
        <v>271</v>
      </c>
      <c r="C6" s="5">
        <v>2105.0</v>
      </c>
      <c r="D6" s="250"/>
      <c r="E6" s="251"/>
      <c r="F6" s="252">
        <f t="shared" si="1"/>
        <v>13260</v>
      </c>
    </row>
    <row r="7">
      <c r="A7" s="22"/>
      <c r="B7" s="60" t="s">
        <v>272</v>
      </c>
      <c r="C7" s="78"/>
      <c r="D7" s="1">
        <v>35.0</v>
      </c>
      <c r="E7" s="254" t="s">
        <v>273</v>
      </c>
      <c r="F7" s="252">
        <f t="shared" si="1"/>
        <v>13225</v>
      </c>
    </row>
    <row r="8">
      <c r="A8" s="249">
        <v>45602.0</v>
      </c>
      <c r="B8" s="60" t="s">
        <v>274</v>
      </c>
      <c r="C8" s="78"/>
      <c r="D8" s="1">
        <v>1890.0</v>
      </c>
      <c r="E8" s="254">
        <v>9.029031E7</v>
      </c>
      <c r="F8" s="252">
        <f t="shared" si="1"/>
        <v>11335</v>
      </c>
    </row>
    <row r="9">
      <c r="A9" s="249"/>
      <c r="B9" s="5" t="s">
        <v>275</v>
      </c>
      <c r="C9" s="78"/>
      <c r="D9" s="1">
        <v>15.0</v>
      </c>
      <c r="E9" s="254" t="s">
        <v>273</v>
      </c>
      <c r="F9" s="252">
        <f t="shared" si="1"/>
        <v>11320</v>
      </c>
    </row>
    <row r="10">
      <c r="A10" s="255"/>
      <c r="B10" s="60" t="s">
        <v>276</v>
      </c>
      <c r="C10" s="5">
        <v>1200.0</v>
      </c>
      <c r="D10" s="250"/>
      <c r="E10" s="251"/>
      <c r="F10" s="252">
        <f t="shared" si="1"/>
        <v>12520</v>
      </c>
    </row>
    <row r="11">
      <c r="A11" s="249">
        <v>45603.0</v>
      </c>
      <c r="B11" s="60" t="s">
        <v>275</v>
      </c>
      <c r="C11" s="78"/>
      <c r="D11" s="1">
        <v>3.0</v>
      </c>
      <c r="E11" s="254" t="s">
        <v>273</v>
      </c>
      <c r="F11" s="252">
        <f t="shared" si="1"/>
        <v>12517</v>
      </c>
    </row>
    <row r="12">
      <c r="A12" s="249">
        <v>45608.0</v>
      </c>
      <c r="B12" s="60" t="s">
        <v>275</v>
      </c>
      <c r="C12" s="78"/>
      <c r="D12" s="1">
        <v>9.0</v>
      </c>
      <c r="E12" s="254" t="s">
        <v>273</v>
      </c>
      <c r="F12" s="252">
        <f t="shared" si="1"/>
        <v>12508</v>
      </c>
    </row>
    <row r="13">
      <c r="A13" s="255"/>
      <c r="B13" s="60" t="s">
        <v>277</v>
      </c>
      <c r="C13" s="78"/>
      <c r="D13" s="1">
        <v>89.0</v>
      </c>
      <c r="E13" s="254" t="s">
        <v>273</v>
      </c>
      <c r="F13" s="252">
        <f t="shared" si="1"/>
        <v>12419</v>
      </c>
    </row>
    <row r="14">
      <c r="A14" s="255"/>
      <c r="B14" s="60" t="s">
        <v>278</v>
      </c>
      <c r="C14" s="78"/>
      <c r="D14" s="1">
        <v>72.0</v>
      </c>
      <c r="E14" s="254" t="s">
        <v>273</v>
      </c>
      <c r="F14" s="252">
        <f t="shared" si="1"/>
        <v>12347</v>
      </c>
    </row>
    <row r="15">
      <c r="A15" s="249">
        <v>45609.0</v>
      </c>
      <c r="B15" s="60" t="s">
        <v>279</v>
      </c>
      <c r="C15" s="78"/>
      <c r="D15" s="1">
        <v>100.0</v>
      </c>
      <c r="E15" s="251"/>
      <c r="F15" s="252">
        <f t="shared" si="1"/>
        <v>12247</v>
      </c>
    </row>
    <row r="16">
      <c r="A16" s="249">
        <v>45615.0</v>
      </c>
      <c r="B16" s="60" t="s">
        <v>276</v>
      </c>
      <c r="C16" s="5">
        <v>1200.0</v>
      </c>
      <c r="D16" s="250"/>
      <c r="E16" s="251"/>
      <c r="F16" s="252">
        <f t="shared" si="1"/>
        <v>13447</v>
      </c>
    </row>
    <row r="17">
      <c r="A17" s="249">
        <v>45616.0</v>
      </c>
      <c r="B17" s="60" t="s">
        <v>275</v>
      </c>
      <c r="C17" s="78"/>
      <c r="D17" s="1">
        <v>70.0</v>
      </c>
      <c r="E17" s="251"/>
      <c r="F17" s="252">
        <f t="shared" si="1"/>
        <v>13377</v>
      </c>
    </row>
    <row r="18">
      <c r="A18" s="249">
        <v>45628.0</v>
      </c>
      <c r="B18" s="39"/>
      <c r="C18" s="5">
        <v>89.0</v>
      </c>
      <c r="D18" s="250"/>
      <c r="E18" s="251"/>
      <c r="F18" s="252">
        <f t="shared" si="1"/>
        <v>13466</v>
      </c>
    </row>
    <row r="19">
      <c r="A19" s="255"/>
      <c r="B19" s="60" t="s">
        <v>275</v>
      </c>
      <c r="C19" s="78"/>
      <c r="D19" s="1">
        <v>12.0</v>
      </c>
      <c r="E19" s="254" t="s">
        <v>273</v>
      </c>
      <c r="F19" s="252">
        <f t="shared" si="1"/>
        <v>13454</v>
      </c>
    </row>
    <row r="20">
      <c r="A20" s="249">
        <v>45639.0</v>
      </c>
      <c r="B20" s="60" t="s">
        <v>280</v>
      </c>
      <c r="C20" s="78"/>
      <c r="D20" s="1">
        <v>440.0</v>
      </c>
      <c r="E20" s="254" t="s">
        <v>273</v>
      </c>
      <c r="F20" s="252">
        <f t="shared" si="1"/>
        <v>13014</v>
      </c>
    </row>
    <row r="21">
      <c r="A21" s="249">
        <v>45643.0</v>
      </c>
      <c r="B21" s="60" t="s">
        <v>281</v>
      </c>
      <c r="C21" s="5">
        <v>200.0</v>
      </c>
      <c r="D21" s="250"/>
      <c r="E21" s="254" t="s">
        <v>273</v>
      </c>
      <c r="F21" s="252">
        <f t="shared" si="1"/>
        <v>13214</v>
      </c>
    </row>
    <row r="22">
      <c r="A22" s="249">
        <v>45645.0</v>
      </c>
      <c r="B22" s="60" t="s">
        <v>275</v>
      </c>
      <c r="C22" s="78"/>
      <c r="D22" s="1">
        <v>39.0</v>
      </c>
      <c r="E22" s="254" t="s">
        <v>273</v>
      </c>
      <c r="F22" s="252">
        <f t="shared" si="1"/>
        <v>13175</v>
      </c>
    </row>
    <row r="23">
      <c r="A23" s="249">
        <v>45649.0</v>
      </c>
      <c r="B23" s="60" t="s">
        <v>282</v>
      </c>
      <c r="C23" s="78"/>
      <c r="D23" s="1">
        <v>3000.0</v>
      </c>
      <c r="E23" s="254" t="s">
        <v>283</v>
      </c>
      <c r="F23" s="252">
        <f t="shared" si="1"/>
        <v>10175</v>
      </c>
    </row>
    <row r="24">
      <c r="A24" s="255"/>
      <c r="B24" s="60" t="s">
        <v>284</v>
      </c>
      <c r="C24" s="78"/>
      <c r="D24" s="1">
        <v>89.0</v>
      </c>
      <c r="E24" s="254" t="s">
        <v>273</v>
      </c>
      <c r="F24" s="252">
        <f t="shared" si="1"/>
        <v>10086</v>
      </c>
    </row>
    <row r="25">
      <c r="A25" s="255"/>
      <c r="B25" s="60" t="s">
        <v>275</v>
      </c>
      <c r="C25" s="78"/>
      <c r="D25" s="1">
        <v>12.0</v>
      </c>
      <c r="E25" s="254" t="s">
        <v>273</v>
      </c>
      <c r="F25" s="252">
        <f t="shared" si="1"/>
        <v>10074</v>
      </c>
    </row>
    <row r="26">
      <c r="A26" s="249">
        <v>45650.0</v>
      </c>
      <c r="B26" s="60" t="s">
        <v>285</v>
      </c>
      <c r="C26" s="5">
        <v>3942.0</v>
      </c>
      <c r="D26" s="250"/>
      <c r="E26" s="251"/>
      <c r="F26" s="252">
        <f t="shared" si="1"/>
        <v>14016</v>
      </c>
    </row>
    <row r="27">
      <c r="A27" s="249">
        <v>45652.0</v>
      </c>
      <c r="B27" s="60" t="s">
        <v>275</v>
      </c>
      <c r="C27" s="78"/>
      <c r="D27" s="1">
        <v>18.0</v>
      </c>
      <c r="E27" s="254" t="s">
        <v>273</v>
      </c>
      <c r="F27" s="252">
        <f t="shared" si="1"/>
        <v>13998</v>
      </c>
    </row>
    <row r="28">
      <c r="A28" s="249">
        <v>45653.0</v>
      </c>
      <c r="B28" s="60" t="s">
        <v>275</v>
      </c>
      <c r="C28" s="78"/>
      <c r="D28" s="1">
        <v>18.0</v>
      </c>
      <c r="E28" s="254" t="s">
        <v>273</v>
      </c>
      <c r="F28" s="252">
        <f t="shared" si="1"/>
        <v>13980</v>
      </c>
    </row>
    <row r="29">
      <c r="A29" s="249">
        <v>45659.0</v>
      </c>
      <c r="B29" s="60" t="s">
        <v>286</v>
      </c>
      <c r="C29" s="78"/>
      <c r="D29" s="1">
        <v>8000.0</v>
      </c>
      <c r="E29" s="251"/>
      <c r="F29" s="252">
        <f t="shared" si="1"/>
        <v>5980</v>
      </c>
    </row>
    <row r="30">
      <c r="A30" s="249">
        <v>45663.0</v>
      </c>
      <c r="B30" s="60" t="s">
        <v>275</v>
      </c>
      <c r="C30" s="78"/>
      <c r="D30" s="1">
        <v>39.0</v>
      </c>
      <c r="E30" s="254" t="s">
        <v>273</v>
      </c>
      <c r="F30" s="252">
        <f t="shared" si="1"/>
        <v>5941</v>
      </c>
    </row>
    <row r="31">
      <c r="A31" s="255"/>
      <c r="B31" s="60" t="s">
        <v>287</v>
      </c>
      <c r="C31" s="78"/>
      <c r="D31" s="1">
        <v>950.0</v>
      </c>
      <c r="E31" s="254">
        <v>9.029031E7</v>
      </c>
      <c r="F31" s="252">
        <f t="shared" si="1"/>
        <v>4991</v>
      </c>
    </row>
    <row r="32">
      <c r="A32" s="249">
        <v>45664.0</v>
      </c>
      <c r="B32" s="60" t="s">
        <v>288</v>
      </c>
      <c r="C32" s="78"/>
      <c r="D32" s="1">
        <v>35.0</v>
      </c>
      <c r="E32" s="254">
        <v>9.029031E7</v>
      </c>
      <c r="F32" s="252">
        <f t="shared" si="1"/>
        <v>4956</v>
      </c>
    </row>
    <row r="33">
      <c r="A33" s="255"/>
      <c r="B33" s="60" t="s">
        <v>289</v>
      </c>
      <c r="C33" s="5">
        <v>20000.0</v>
      </c>
      <c r="D33" s="250"/>
      <c r="E33" s="251"/>
      <c r="F33" s="252">
        <f t="shared" si="1"/>
        <v>24956</v>
      </c>
    </row>
    <row r="34">
      <c r="A34" s="255"/>
      <c r="B34" s="60" t="s">
        <v>287</v>
      </c>
      <c r="C34" s="78"/>
      <c r="D34" s="1">
        <v>915.0</v>
      </c>
      <c r="E34" s="254">
        <v>9.029031E7</v>
      </c>
      <c r="F34" s="252">
        <f t="shared" si="1"/>
        <v>24041</v>
      </c>
    </row>
    <row r="35">
      <c r="A35" s="249">
        <v>45665.0</v>
      </c>
      <c r="B35" s="60" t="s">
        <v>287</v>
      </c>
      <c r="C35" s="78"/>
      <c r="D35" s="1">
        <v>1480.0</v>
      </c>
      <c r="E35" s="254">
        <v>9.029031E7</v>
      </c>
      <c r="F35" s="252">
        <f t="shared" si="1"/>
        <v>22561</v>
      </c>
    </row>
    <row r="36">
      <c r="A36" s="255"/>
      <c r="B36" s="60" t="s">
        <v>290</v>
      </c>
      <c r="C36" s="78"/>
      <c r="D36" s="1">
        <v>36.0</v>
      </c>
      <c r="E36" s="254" t="s">
        <v>273</v>
      </c>
      <c r="F36" s="252">
        <f t="shared" si="1"/>
        <v>22525</v>
      </c>
    </row>
    <row r="37">
      <c r="A37" s="249">
        <v>45666.0</v>
      </c>
      <c r="B37" s="60" t="s">
        <v>287</v>
      </c>
      <c r="C37" s="78"/>
      <c r="D37" s="1">
        <v>1840.0</v>
      </c>
      <c r="E37" s="254">
        <v>9.029031E7</v>
      </c>
      <c r="F37" s="252">
        <f t="shared" si="1"/>
        <v>20685</v>
      </c>
    </row>
    <row r="38">
      <c r="A38" s="249">
        <v>45301.0</v>
      </c>
      <c r="B38" s="60" t="s">
        <v>287</v>
      </c>
      <c r="C38" s="78"/>
      <c r="D38" s="1">
        <v>2645.0</v>
      </c>
      <c r="E38" s="254">
        <v>9.029031E7</v>
      </c>
      <c r="F38" s="252">
        <f t="shared" si="1"/>
        <v>18040</v>
      </c>
    </row>
    <row r="39">
      <c r="A39" s="255"/>
      <c r="B39" s="60" t="s">
        <v>275</v>
      </c>
      <c r="C39" s="78"/>
      <c r="D39" s="1">
        <v>12.0</v>
      </c>
      <c r="E39" s="254" t="s">
        <v>273</v>
      </c>
      <c r="F39" s="252">
        <f t="shared" si="1"/>
        <v>18028</v>
      </c>
    </row>
    <row r="40">
      <c r="A40" s="249">
        <v>45304.0</v>
      </c>
      <c r="B40" s="60" t="s">
        <v>287</v>
      </c>
      <c r="C40" s="78"/>
      <c r="D40" s="1">
        <v>1750.0</v>
      </c>
      <c r="E40" s="254" t="s">
        <v>291</v>
      </c>
      <c r="F40" s="252">
        <f t="shared" si="1"/>
        <v>16278</v>
      </c>
    </row>
    <row r="41">
      <c r="A41" s="255"/>
      <c r="B41" s="60" t="s">
        <v>292</v>
      </c>
      <c r="C41" s="78"/>
      <c r="D41" s="1">
        <v>346.0</v>
      </c>
      <c r="E41" s="254">
        <v>9.029031E7</v>
      </c>
      <c r="F41" s="252">
        <f t="shared" si="1"/>
        <v>15932</v>
      </c>
    </row>
    <row r="42">
      <c r="A42" s="249">
        <v>45305.0</v>
      </c>
      <c r="B42" s="60" t="s">
        <v>287</v>
      </c>
      <c r="C42" s="78"/>
      <c r="D42" s="1">
        <v>1940.0</v>
      </c>
      <c r="E42" s="254" t="s">
        <v>291</v>
      </c>
      <c r="F42" s="252">
        <f t="shared" si="1"/>
        <v>13992</v>
      </c>
    </row>
    <row r="43">
      <c r="A43" s="255"/>
      <c r="B43" s="60" t="s">
        <v>275</v>
      </c>
      <c r="C43" s="78"/>
      <c r="D43" s="1">
        <v>24.0</v>
      </c>
      <c r="E43" s="254" t="s">
        <v>273</v>
      </c>
      <c r="F43" s="252">
        <f t="shared" si="1"/>
        <v>13968</v>
      </c>
    </row>
    <row r="44">
      <c r="A44" s="249">
        <v>45672.0</v>
      </c>
      <c r="B44" s="60" t="s">
        <v>275</v>
      </c>
      <c r="C44" s="78"/>
      <c r="D44" s="1">
        <v>3.0</v>
      </c>
      <c r="E44" s="254" t="s">
        <v>273</v>
      </c>
      <c r="F44" s="252">
        <f t="shared" si="1"/>
        <v>13965</v>
      </c>
    </row>
    <row r="45">
      <c r="A45" s="255"/>
      <c r="B45" s="60" t="s">
        <v>287</v>
      </c>
      <c r="C45" s="78"/>
      <c r="D45" s="1">
        <v>1760.0</v>
      </c>
      <c r="E45" s="254">
        <v>9.029031E7</v>
      </c>
      <c r="F45" s="252">
        <f t="shared" si="1"/>
        <v>12205</v>
      </c>
    </row>
    <row r="46">
      <c r="A46" s="249">
        <v>45673.0</v>
      </c>
      <c r="B46" s="60" t="s">
        <v>287</v>
      </c>
      <c r="C46" s="78"/>
      <c r="D46" s="1">
        <v>2800.0</v>
      </c>
      <c r="E46" s="254" t="s">
        <v>291</v>
      </c>
      <c r="F46" s="252">
        <f t="shared" si="1"/>
        <v>9405</v>
      </c>
    </row>
    <row r="47">
      <c r="A47" s="255"/>
      <c r="B47" s="60" t="s">
        <v>293</v>
      </c>
      <c r="C47" s="78"/>
      <c r="D47" s="1">
        <v>280.0</v>
      </c>
      <c r="E47" s="254">
        <v>9.029031E7</v>
      </c>
      <c r="F47" s="252">
        <f t="shared" si="1"/>
        <v>9125</v>
      </c>
    </row>
    <row r="48">
      <c r="A48" s="249">
        <v>45674.0</v>
      </c>
      <c r="B48" s="60" t="s">
        <v>275</v>
      </c>
      <c r="C48" s="78"/>
      <c r="D48" s="1">
        <v>33.0</v>
      </c>
      <c r="E48" s="254" t="s">
        <v>273</v>
      </c>
      <c r="F48" s="252">
        <f t="shared" si="1"/>
        <v>9092</v>
      </c>
    </row>
    <row r="49">
      <c r="A49" s="255"/>
      <c r="B49" s="60" t="s">
        <v>287</v>
      </c>
      <c r="C49" s="78"/>
      <c r="D49" s="1">
        <v>2220.0</v>
      </c>
      <c r="E49" s="254" t="s">
        <v>291</v>
      </c>
      <c r="F49" s="252">
        <f t="shared" si="1"/>
        <v>6872</v>
      </c>
    </row>
    <row r="50">
      <c r="A50" s="249">
        <v>45677.0</v>
      </c>
      <c r="B50" s="60" t="s">
        <v>287</v>
      </c>
      <c r="C50" s="78"/>
      <c r="D50" s="1">
        <v>1560.0</v>
      </c>
      <c r="E50" s="254" t="s">
        <v>291</v>
      </c>
      <c r="F50" s="252">
        <f t="shared" si="1"/>
        <v>5312</v>
      </c>
    </row>
    <row r="51">
      <c r="A51" s="255"/>
      <c r="B51" s="60" t="s">
        <v>275</v>
      </c>
      <c r="C51" s="78"/>
      <c r="D51" s="1">
        <v>3.0</v>
      </c>
      <c r="E51" s="254" t="s">
        <v>273</v>
      </c>
      <c r="F51" s="252">
        <f t="shared" si="1"/>
        <v>5309</v>
      </c>
    </row>
    <row r="52">
      <c r="A52" s="249">
        <v>45678.0</v>
      </c>
      <c r="B52" s="60" t="s">
        <v>289</v>
      </c>
      <c r="C52" s="5">
        <v>15000.0</v>
      </c>
      <c r="D52" s="250"/>
      <c r="E52" s="251"/>
      <c r="F52" s="252">
        <f t="shared" si="1"/>
        <v>20309</v>
      </c>
    </row>
    <row r="53">
      <c r="A53" s="249"/>
      <c r="B53" s="60" t="s">
        <v>287</v>
      </c>
      <c r="C53" s="78"/>
      <c r="D53" s="1">
        <v>1515.0</v>
      </c>
      <c r="E53" s="254" t="s">
        <v>291</v>
      </c>
      <c r="F53" s="252">
        <f t="shared" si="1"/>
        <v>18794</v>
      </c>
    </row>
    <row r="54">
      <c r="A54" s="249">
        <v>45679.0</v>
      </c>
      <c r="B54" s="60" t="s">
        <v>287</v>
      </c>
      <c r="C54" s="78"/>
      <c r="D54" s="1">
        <v>2606.0</v>
      </c>
      <c r="E54" s="254" t="s">
        <v>291</v>
      </c>
      <c r="F54" s="252">
        <f t="shared" si="1"/>
        <v>16188</v>
      </c>
    </row>
    <row r="55">
      <c r="A55" s="249">
        <v>45680.0</v>
      </c>
      <c r="B55" s="60" t="s">
        <v>287</v>
      </c>
      <c r="C55" s="78"/>
      <c r="D55" s="1">
        <v>2320.0</v>
      </c>
      <c r="E55" s="254" t="s">
        <v>291</v>
      </c>
      <c r="F55" s="252">
        <f t="shared" si="1"/>
        <v>13868</v>
      </c>
    </row>
    <row r="56">
      <c r="A56" s="249">
        <v>45681.0</v>
      </c>
      <c r="B56" s="60" t="s">
        <v>287</v>
      </c>
      <c r="C56" s="78"/>
      <c r="D56" s="1">
        <v>2088.0</v>
      </c>
      <c r="E56" s="254" t="s">
        <v>291</v>
      </c>
      <c r="F56" s="252">
        <f t="shared" si="1"/>
        <v>11780</v>
      </c>
    </row>
    <row r="57">
      <c r="A57" s="255"/>
      <c r="B57" s="60" t="s">
        <v>294</v>
      </c>
      <c r="C57" s="78"/>
      <c r="D57" s="1">
        <v>4708.0</v>
      </c>
      <c r="E57" s="254">
        <v>9.029031E7</v>
      </c>
      <c r="F57" s="252">
        <f t="shared" si="1"/>
        <v>7072</v>
      </c>
    </row>
    <row r="58">
      <c r="A58" s="255"/>
      <c r="B58" s="60" t="s">
        <v>275</v>
      </c>
      <c r="C58" s="78"/>
      <c r="D58" s="1">
        <v>15.0</v>
      </c>
      <c r="E58" s="254" t="s">
        <v>273</v>
      </c>
      <c r="F58" s="252">
        <f t="shared" si="1"/>
        <v>7057</v>
      </c>
    </row>
    <row r="59">
      <c r="A59" s="249">
        <v>45691.0</v>
      </c>
      <c r="B59" s="60" t="s">
        <v>295</v>
      </c>
      <c r="C59" s="78"/>
      <c r="D59" s="1">
        <v>100.0</v>
      </c>
      <c r="E59" s="254" t="s">
        <v>273</v>
      </c>
      <c r="F59" s="252">
        <f t="shared" si="1"/>
        <v>6957</v>
      </c>
    </row>
    <row r="60">
      <c r="A60" s="255"/>
      <c r="B60" s="60" t="s">
        <v>287</v>
      </c>
      <c r="C60" s="78"/>
      <c r="D60" s="1">
        <v>2435.0</v>
      </c>
      <c r="E60" s="254">
        <v>9.029031E7</v>
      </c>
      <c r="F60" s="252">
        <f t="shared" si="1"/>
        <v>4522</v>
      </c>
    </row>
    <row r="61">
      <c r="A61" s="255"/>
      <c r="B61" s="60" t="s">
        <v>289</v>
      </c>
      <c r="C61" s="5">
        <v>15000.0</v>
      </c>
      <c r="D61" s="250"/>
      <c r="E61" s="251"/>
      <c r="F61" s="252">
        <f t="shared" si="1"/>
        <v>19522</v>
      </c>
    </row>
    <row r="62">
      <c r="A62" s="249">
        <v>45692.0</v>
      </c>
      <c r="B62" s="60" t="s">
        <v>287</v>
      </c>
      <c r="C62" s="78"/>
      <c r="D62" s="1">
        <v>2405.0</v>
      </c>
      <c r="E62" s="254" t="s">
        <v>291</v>
      </c>
      <c r="F62" s="252">
        <f t="shared" si="1"/>
        <v>17117</v>
      </c>
    </row>
    <row r="63">
      <c r="A63" s="255"/>
      <c r="B63" s="60" t="s">
        <v>275</v>
      </c>
      <c r="C63" s="78"/>
      <c r="D63" s="1">
        <v>66.0</v>
      </c>
      <c r="E63" s="254" t="s">
        <v>273</v>
      </c>
      <c r="F63" s="252">
        <f t="shared" si="1"/>
        <v>17051</v>
      </c>
    </row>
    <row r="64">
      <c r="A64" s="255"/>
      <c r="B64" s="60" t="s">
        <v>287</v>
      </c>
      <c r="C64" s="78"/>
      <c r="D64" s="1">
        <v>1880.0</v>
      </c>
      <c r="E64" s="254" t="s">
        <v>291</v>
      </c>
      <c r="F64" s="252">
        <f t="shared" si="1"/>
        <v>15171</v>
      </c>
    </row>
    <row r="65">
      <c r="A65" s="249">
        <v>45694.0</v>
      </c>
      <c r="B65" s="60" t="s">
        <v>287</v>
      </c>
      <c r="C65" s="78"/>
      <c r="D65" s="1">
        <v>2714.0</v>
      </c>
      <c r="E65" s="254" t="s">
        <v>291</v>
      </c>
      <c r="F65" s="252">
        <f t="shared" si="1"/>
        <v>12457</v>
      </c>
    </row>
    <row r="66">
      <c r="A66" s="249"/>
      <c r="B66" s="60" t="s">
        <v>296</v>
      </c>
      <c r="C66" s="78"/>
      <c r="D66" s="1">
        <v>1355.0</v>
      </c>
      <c r="E66" s="254" t="s">
        <v>273</v>
      </c>
      <c r="F66" s="252">
        <f t="shared" si="1"/>
        <v>11102</v>
      </c>
    </row>
    <row r="67">
      <c r="A67" s="249">
        <v>45695.0</v>
      </c>
      <c r="B67" s="60" t="s">
        <v>297</v>
      </c>
      <c r="C67" s="78"/>
      <c r="D67" s="1">
        <v>839.0</v>
      </c>
      <c r="E67" s="254" t="s">
        <v>273</v>
      </c>
      <c r="F67" s="252">
        <f t="shared" si="1"/>
        <v>10263</v>
      </c>
    </row>
    <row r="68">
      <c r="A68" s="255"/>
      <c r="B68" s="60" t="s">
        <v>287</v>
      </c>
      <c r="C68" s="78"/>
      <c r="D68" s="1">
        <v>2515.0</v>
      </c>
      <c r="E68" s="254" t="s">
        <v>291</v>
      </c>
      <c r="F68" s="252">
        <f t="shared" si="1"/>
        <v>7748</v>
      </c>
    </row>
    <row r="69">
      <c r="A69" s="249">
        <v>45696.0</v>
      </c>
      <c r="B69" s="60" t="s">
        <v>287</v>
      </c>
      <c r="C69" s="78"/>
      <c r="D69" s="1">
        <v>1830.0</v>
      </c>
      <c r="E69" s="254" t="s">
        <v>291</v>
      </c>
      <c r="F69" s="252">
        <f t="shared" si="1"/>
        <v>5918</v>
      </c>
    </row>
    <row r="70">
      <c r="A70" s="255"/>
      <c r="B70" s="60" t="s">
        <v>275</v>
      </c>
      <c r="C70" s="78"/>
      <c r="D70" s="1">
        <v>12.0</v>
      </c>
      <c r="E70" s="254" t="s">
        <v>273</v>
      </c>
      <c r="F70" s="252">
        <f t="shared" si="1"/>
        <v>5906</v>
      </c>
    </row>
    <row r="71">
      <c r="A71" s="249">
        <v>45698.0</v>
      </c>
      <c r="B71" s="60" t="s">
        <v>275</v>
      </c>
      <c r="C71" s="78"/>
      <c r="D71" s="1">
        <v>12.0</v>
      </c>
      <c r="E71" s="254" t="s">
        <v>273</v>
      </c>
      <c r="F71" s="252">
        <f t="shared" si="1"/>
        <v>5894</v>
      </c>
    </row>
    <row r="72">
      <c r="A72" s="255"/>
      <c r="B72" s="60" t="s">
        <v>287</v>
      </c>
      <c r="C72" s="78"/>
      <c r="D72" s="1">
        <v>1830.0</v>
      </c>
      <c r="E72" s="254" t="s">
        <v>291</v>
      </c>
      <c r="F72" s="252">
        <f t="shared" si="1"/>
        <v>4064</v>
      </c>
    </row>
    <row r="73">
      <c r="A73" s="255"/>
      <c r="B73" s="60" t="s">
        <v>289</v>
      </c>
      <c r="C73" s="5">
        <v>15000.0</v>
      </c>
      <c r="D73" s="250"/>
      <c r="E73" s="251"/>
      <c r="F73" s="252">
        <f t="shared" si="1"/>
        <v>19064</v>
      </c>
    </row>
    <row r="74">
      <c r="A74" s="255"/>
      <c r="B74" s="60" t="s">
        <v>298</v>
      </c>
      <c r="C74" s="78"/>
      <c r="D74" s="1">
        <v>210.0</v>
      </c>
      <c r="E74" s="251"/>
      <c r="F74" s="252">
        <f t="shared" si="1"/>
        <v>18854</v>
      </c>
    </row>
    <row r="75">
      <c r="A75" s="249">
        <v>45699.0</v>
      </c>
      <c r="B75" s="60" t="s">
        <v>287</v>
      </c>
      <c r="C75" s="78"/>
      <c r="D75" s="1">
        <v>2494.0</v>
      </c>
      <c r="E75" s="254">
        <v>9.029031E7</v>
      </c>
      <c r="F75" s="252">
        <f t="shared" si="1"/>
        <v>16360</v>
      </c>
    </row>
    <row r="76">
      <c r="A76" s="249">
        <v>45700.0</v>
      </c>
      <c r="B76" s="60" t="s">
        <v>299</v>
      </c>
      <c r="C76" s="78"/>
      <c r="D76" s="1">
        <v>367.0</v>
      </c>
      <c r="E76" s="251"/>
      <c r="F76" s="252">
        <f t="shared" si="1"/>
        <v>15993</v>
      </c>
    </row>
    <row r="77">
      <c r="A77" s="255"/>
      <c r="B77" s="60" t="s">
        <v>287</v>
      </c>
      <c r="C77" s="78"/>
      <c r="D77" s="1">
        <v>2800.0</v>
      </c>
      <c r="E77" s="254" t="s">
        <v>291</v>
      </c>
      <c r="F77" s="252">
        <f t="shared" si="1"/>
        <v>13193</v>
      </c>
    </row>
    <row r="78">
      <c r="A78" s="249">
        <v>45701.0</v>
      </c>
      <c r="B78" s="60" t="s">
        <v>275</v>
      </c>
      <c r="C78" s="78"/>
      <c r="D78" s="1">
        <v>15.0</v>
      </c>
      <c r="E78" s="254" t="s">
        <v>273</v>
      </c>
      <c r="F78" s="252">
        <f t="shared" si="1"/>
        <v>13178</v>
      </c>
    </row>
    <row r="79">
      <c r="A79" s="255"/>
      <c r="B79" s="60" t="s">
        <v>287</v>
      </c>
      <c r="C79" s="78"/>
      <c r="D79" s="1">
        <v>2465.0</v>
      </c>
      <c r="E79" s="254" t="s">
        <v>291</v>
      </c>
      <c r="F79" s="252">
        <f t="shared" si="1"/>
        <v>10713</v>
      </c>
    </row>
    <row r="80">
      <c r="A80" s="249">
        <v>45702.0</v>
      </c>
      <c r="B80" s="60" t="s">
        <v>287</v>
      </c>
      <c r="C80" s="78"/>
      <c r="D80" s="1">
        <v>1760.0</v>
      </c>
      <c r="E80" s="254">
        <v>9.029031E7</v>
      </c>
      <c r="F80" s="252">
        <f t="shared" si="1"/>
        <v>8953</v>
      </c>
    </row>
    <row r="81">
      <c r="A81" s="249">
        <v>45705.0</v>
      </c>
      <c r="B81" s="60" t="s">
        <v>300</v>
      </c>
      <c r="C81" s="78"/>
      <c r="D81" s="1">
        <v>790.0</v>
      </c>
      <c r="E81" s="251"/>
      <c r="F81" s="252">
        <f t="shared" si="1"/>
        <v>8163</v>
      </c>
    </row>
    <row r="82">
      <c r="A82" s="255"/>
      <c r="B82" s="60" t="s">
        <v>287</v>
      </c>
      <c r="C82" s="78"/>
      <c r="D82" s="1">
        <v>2840.0</v>
      </c>
      <c r="E82" s="254" t="s">
        <v>291</v>
      </c>
      <c r="F82" s="252">
        <f t="shared" si="1"/>
        <v>5323</v>
      </c>
    </row>
    <row r="83">
      <c r="A83" s="255"/>
      <c r="B83" s="60" t="s">
        <v>289</v>
      </c>
      <c r="C83" s="5">
        <v>15000.0</v>
      </c>
      <c r="D83" s="250"/>
      <c r="E83" s="256" t="s">
        <v>301</v>
      </c>
      <c r="F83" s="252">
        <f t="shared" si="1"/>
        <v>20323</v>
      </c>
    </row>
    <row r="84">
      <c r="A84" s="249"/>
      <c r="B84" s="60" t="s">
        <v>275</v>
      </c>
      <c r="C84" s="78"/>
      <c r="D84" s="1">
        <v>6.0</v>
      </c>
      <c r="E84" s="254" t="s">
        <v>273</v>
      </c>
      <c r="F84" s="252">
        <f t="shared" si="1"/>
        <v>20317</v>
      </c>
    </row>
    <row r="85">
      <c r="A85" s="249">
        <v>45706.0</v>
      </c>
      <c r="B85" s="60" t="s">
        <v>287</v>
      </c>
      <c r="C85" s="78"/>
      <c r="D85" s="1">
        <v>2910.0</v>
      </c>
      <c r="E85" s="254" t="s">
        <v>291</v>
      </c>
      <c r="F85" s="252">
        <f t="shared" si="1"/>
        <v>17407</v>
      </c>
    </row>
    <row r="86">
      <c r="A86" s="249">
        <v>45707.0</v>
      </c>
      <c r="B86" s="60" t="s">
        <v>287</v>
      </c>
      <c r="C86" s="78"/>
      <c r="D86" s="1">
        <v>2455.0</v>
      </c>
      <c r="E86" s="254" t="s">
        <v>291</v>
      </c>
      <c r="F86" s="252">
        <f t="shared" si="1"/>
        <v>14952</v>
      </c>
    </row>
    <row r="87">
      <c r="A87" s="255"/>
      <c r="B87" s="60" t="s">
        <v>302</v>
      </c>
      <c r="C87" s="78"/>
      <c r="D87" s="1">
        <v>5000.0</v>
      </c>
      <c r="E87" s="254">
        <v>9.029031E7</v>
      </c>
      <c r="F87" s="252">
        <f t="shared" si="1"/>
        <v>9952</v>
      </c>
    </row>
    <row r="88">
      <c r="A88" s="249">
        <v>45708.0</v>
      </c>
      <c r="B88" s="60" t="s">
        <v>287</v>
      </c>
      <c r="C88" s="78"/>
      <c r="D88" s="1">
        <v>2694.0</v>
      </c>
      <c r="E88" s="254">
        <v>9.029031E7</v>
      </c>
      <c r="F88" s="252">
        <f t="shared" si="1"/>
        <v>7258</v>
      </c>
    </row>
    <row r="89">
      <c r="A89" s="249">
        <v>45709.0</v>
      </c>
      <c r="B89" s="60" t="s">
        <v>303</v>
      </c>
      <c r="C89" s="78"/>
      <c r="D89" s="1">
        <v>39.0</v>
      </c>
      <c r="E89" s="254">
        <v>9.029031E7</v>
      </c>
      <c r="F89" s="252">
        <f t="shared" si="1"/>
        <v>7219</v>
      </c>
    </row>
    <row r="90">
      <c r="A90" s="255"/>
      <c r="B90" s="60" t="s">
        <v>304</v>
      </c>
      <c r="C90" s="78"/>
      <c r="D90" s="1">
        <v>1002.0</v>
      </c>
      <c r="E90" s="251"/>
      <c r="F90" s="252">
        <f t="shared" si="1"/>
        <v>6217</v>
      </c>
    </row>
    <row r="91">
      <c r="A91" s="255"/>
      <c r="B91" s="60" t="s">
        <v>287</v>
      </c>
      <c r="C91" s="78"/>
      <c r="D91" s="1">
        <v>2676.0</v>
      </c>
      <c r="E91" s="254">
        <v>9.029031E7</v>
      </c>
      <c r="F91" s="252">
        <f t="shared" si="1"/>
        <v>3541</v>
      </c>
    </row>
    <row r="92">
      <c r="A92" s="249">
        <v>45712.0</v>
      </c>
      <c r="B92" s="60" t="s">
        <v>287</v>
      </c>
      <c r="C92" s="78"/>
      <c r="D92" s="1">
        <v>2230.0</v>
      </c>
      <c r="E92" s="254" t="s">
        <v>291</v>
      </c>
      <c r="F92" s="252">
        <f t="shared" si="1"/>
        <v>1311</v>
      </c>
    </row>
    <row r="93">
      <c r="A93" s="249">
        <v>45713.0</v>
      </c>
      <c r="B93" s="60" t="s">
        <v>289</v>
      </c>
      <c r="C93" s="5">
        <v>20000.0</v>
      </c>
      <c r="D93" s="250"/>
      <c r="E93" s="251"/>
      <c r="F93" s="252">
        <f t="shared" si="1"/>
        <v>21311</v>
      </c>
    </row>
    <row r="94">
      <c r="A94" s="255"/>
      <c r="B94" s="60" t="s">
        <v>287</v>
      </c>
      <c r="C94" s="78"/>
      <c r="D94" s="1">
        <v>2625.0</v>
      </c>
      <c r="E94" s="254" t="s">
        <v>291</v>
      </c>
      <c r="F94" s="252">
        <f t="shared" si="1"/>
        <v>18686</v>
      </c>
    </row>
    <row r="95">
      <c r="A95" s="255"/>
      <c r="B95" s="60" t="s">
        <v>275</v>
      </c>
      <c r="C95" s="78"/>
      <c r="D95" s="1">
        <v>24.0</v>
      </c>
      <c r="E95" s="254" t="s">
        <v>273</v>
      </c>
      <c r="F95" s="252">
        <f t="shared" si="1"/>
        <v>18662</v>
      </c>
    </row>
    <row r="96">
      <c r="A96" s="249">
        <v>45715.0</v>
      </c>
      <c r="B96" s="60" t="s">
        <v>287</v>
      </c>
      <c r="C96" s="78"/>
      <c r="D96" s="1">
        <v>2385.0</v>
      </c>
      <c r="E96" s="254" t="s">
        <v>291</v>
      </c>
      <c r="F96" s="252">
        <f t="shared" si="1"/>
        <v>16277</v>
      </c>
    </row>
    <row r="97">
      <c r="A97" s="249">
        <v>45716.0</v>
      </c>
      <c r="B97" s="60" t="s">
        <v>287</v>
      </c>
      <c r="C97" s="78"/>
      <c r="D97" s="1">
        <v>2100.0</v>
      </c>
      <c r="E97" s="254" t="s">
        <v>291</v>
      </c>
      <c r="F97" s="252">
        <f t="shared" si="1"/>
        <v>14177</v>
      </c>
    </row>
    <row r="98">
      <c r="A98" s="249">
        <v>45719.0</v>
      </c>
      <c r="B98" s="60" t="s">
        <v>287</v>
      </c>
      <c r="C98" s="78"/>
      <c r="D98" s="1">
        <v>2315.0</v>
      </c>
      <c r="E98" s="254" t="s">
        <v>291</v>
      </c>
      <c r="F98" s="252">
        <f t="shared" si="1"/>
        <v>11862</v>
      </c>
    </row>
    <row r="99">
      <c r="A99" s="255"/>
      <c r="B99" s="60" t="s">
        <v>275</v>
      </c>
      <c r="C99" s="78"/>
      <c r="D99" s="1">
        <v>93.0</v>
      </c>
      <c r="E99" s="254" t="s">
        <v>273</v>
      </c>
      <c r="F99" s="252">
        <f t="shared" si="1"/>
        <v>11769</v>
      </c>
    </row>
    <row r="100">
      <c r="A100" s="249">
        <v>45720.0</v>
      </c>
      <c r="B100" s="60" t="s">
        <v>287</v>
      </c>
      <c r="C100" s="78"/>
      <c r="D100" s="1">
        <v>2318.0</v>
      </c>
      <c r="E100" s="254" t="s">
        <v>291</v>
      </c>
      <c r="F100" s="252">
        <f t="shared" si="1"/>
        <v>9451</v>
      </c>
    </row>
    <row r="101">
      <c r="A101" s="249"/>
      <c r="B101" s="60" t="s">
        <v>305</v>
      </c>
      <c r="C101" s="78"/>
      <c r="D101" s="1">
        <v>1145.0</v>
      </c>
      <c r="E101" s="254">
        <v>9.029031E7</v>
      </c>
      <c r="F101" s="252">
        <f t="shared" si="1"/>
        <v>8306</v>
      </c>
    </row>
    <row r="102">
      <c r="A102" s="249">
        <v>45721.0</v>
      </c>
      <c r="B102" s="60" t="s">
        <v>287</v>
      </c>
      <c r="C102" s="78"/>
      <c r="D102" s="1">
        <v>2459.0</v>
      </c>
      <c r="E102" s="254">
        <v>9.029031E7</v>
      </c>
      <c r="F102" s="252">
        <f t="shared" si="1"/>
        <v>5847</v>
      </c>
    </row>
    <row r="103">
      <c r="A103" s="255"/>
      <c r="B103" s="60" t="s">
        <v>289</v>
      </c>
      <c r="C103" s="5">
        <v>20000.0</v>
      </c>
      <c r="D103" s="1"/>
      <c r="E103" s="254"/>
      <c r="F103" s="252">
        <f t="shared" si="1"/>
        <v>25847</v>
      </c>
    </row>
    <row r="104">
      <c r="A104" s="249">
        <v>45722.0</v>
      </c>
      <c r="B104" s="60" t="s">
        <v>275</v>
      </c>
      <c r="C104" s="78"/>
      <c r="D104" s="1">
        <v>24.0</v>
      </c>
      <c r="E104" s="254" t="s">
        <v>273</v>
      </c>
      <c r="F104" s="252">
        <f t="shared" si="1"/>
        <v>25823</v>
      </c>
    </row>
    <row r="105">
      <c r="A105" s="255"/>
      <c r="B105" s="60" t="s">
        <v>287</v>
      </c>
      <c r="C105" s="78"/>
      <c r="D105" s="1">
        <v>1736.0</v>
      </c>
      <c r="E105" s="254">
        <v>9.029031E7</v>
      </c>
      <c r="F105" s="252">
        <f t="shared" si="1"/>
        <v>24087</v>
      </c>
    </row>
    <row r="106">
      <c r="A106" s="255"/>
      <c r="B106" s="60" t="s">
        <v>306</v>
      </c>
      <c r="C106" s="78"/>
      <c r="D106" s="1">
        <v>35.0</v>
      </c>
      <c r="E106" s="254" t="s">
        <v>273</v>
      </c>
      <c r="F106" s="252">
        <f t="shared" si="1"/>
        <v>24052</v>
      </c>
    </row>
    <row r="107">
      <c r="A107" s="249">
        <v>45723.0</v>
      </c>
      <c r="B107" s="60" t="s">
        <v>287</v>
      </c>
      <c r="C107" s="78"/>
      <c r="D107" s="1">
        <v>1780.0</v>
      </c>
      <c r="E107" s="254" t="s">
        <v>291</v>
      </c>
      <c r="F107" s="252">
        <f t="shared" si="1"/>
        <v>22272</v>
      </c>
    </row>
    <row r="108">
      <c r="A108" s="249">
        <v>45726.0</v>
      </c>
      <c r="B108" s="60" t="s">
        <v>287</v>
      </c>
      <c r="C108" s="78"/>
      <c r="D108" s="1">
        <v>2765.0</v>
      </c>
      <c r="E108" s="254">
        <v>9.029031E7</v>
      </c>
      <c r="F108" s="252">
        <f t="shared" si="1"/>
        <v>19507</v>
      </c>
    </row>
    <row r="109">
      <c r="A109" s="255"/>
      <c r="B109" s="60" t="s">
        <v>307</v>
      </c>
      <c r="C109" s="78"/>
      <c r="D109" s="1">
        <v>1652.0</v>
      </c>
      <c r="E109" s="254" t="s">
        <v>291</v>
      </c>
      <c r="F109" s="252">
        <f t="shared" si="1"/>
        <v>17855</v>
      </c>
    </row>
    <row r="110">
      <c r="A110" s="255"/>
      <c r="B110" s="60" t="s">
        <v>308</v>
      </c>
      <c r="C110" s="78"/>
      <c r="D110" s="1">
        <v>1680.0</v>
      </c>
      <c r="E110" s="254" t="s">
        <v>291</v>
      </c>
      <c r="F110" s="252">
        <f t="shared" si="1"/>
        <v>16175</v>
      </c>
    </row>
    <row r="111">
      <c r="A111" s="249">
        <v>45727.0</v>
      </c>
      <c r="B111" s="60" t="s">
        <v>287</v>
      </c>
      <c r="C111" s="78"/>
      <c r="D111" s="1">
        <v>2050.0</v>
      </c>
      <c r="E111" s="254" t="s">
        <v>273</v>
      </c>
      <c r="F111" s="252">
        <f t="shared" si="1"/>
        <v>14125</v>
      </c>
    </row>
    <row r="112">
      <c r="A112" s="255"/>
      <c r="B112" s="60" t="s">
        <v>294</v>
      </c>
      <c r="C112" s="78"/>
      <c r="D112" s="1">
        <v>3263.0</v>
      </c>
      <c r="E112" s="254">
        <v>9.029031E7</v>
      </c>
      <c r="F112" s="252">
        <f t="shared" si="1"/>
        <v>10862</v>
      </c>
    </row>
    <row r="113">
      <c r="A113" s="249">
        <v>45728.0</v>
      </c>
      <c r="B113" s="60" t="s">
        <v>287</v>
      </c>
      <c r="C113" s="78"/>
      <c r="D113" s="1">
        <v>2233.0</v>
      </c>
      <c r="E113" s="254" t="s">
        <v>291</v>
      </c>
      <c r="F113" s="252">
        <f t="shared" si="1"/>
        <v>8629</v>
      </c>
    </row>
    <row r="114">
      <c r="A114" s="249">
        <v>45729.0</v>
      </c>
      <c r="B114" s="60" t="s">
        <v>287</v>
      </c>
      <c r="C114" s="78"/>
      <c r="D114" s="1">
        <v>1865.0</v>
      </c>
      <c r="E114" s="254">
        <v>9.029031E7</v>
      </c>
      <c r="F114" s="252">
        <f t="shared" si="1"/>
        <v>6764</v>
      </c>
    </row>
    <row r="115">
      <c r="A115" s="249">
        <v>45730.0</v>
      </c>
      <c r="B115" s="60" t="s">
        <v>287</v>
      </c>
      <c r="C115" s="78"/>
      <c r="D115" s="1">
        <v>2245.0</v>
      </c>
      <c r="E115" s="254" t="s">
        <v>291</v>
      </c>
      <c r="F115" s="252">
        <f t="shared" si="1"/>
        <v>4519</v>
      </c>
    </row>
    <row r="116">
      <c r="A116" s="249">
        <v>45733.0</v>
      </c>
      <c r="B116" s="60" t="s">
        <v>287</v>
      </c>
      <c r="C116" s="78"/>
      <c r="D116" s="1">
        <v>2855.0</v>
      </c>
      <c r="E116" s="254" t="s">
        <v>291</v>
      </c>
      <c r="F116" s="252">
        <f t="shared" si="1"/>
        <v>1664</v>
      </c>
    </row>
    <row r="117">
      <c r="A117" s="255"/>
      <c r="B117" s="60" t="s">
        <v>289</v>
      </c>
      <c r="C117" s="5">
        <v>20000.0</v>
      </c>
      <c r="D117" s="1"/>
      <c r="E117" s="251"/>
      <c r="F117" s="252">
        <f t="shared" si="1"/>
        <v>21664</v>
      </c>
    </row>
    <row r="118">
      <c r="A118" s="249">
        <v>45734.0</v>
      </c>
      <c r="B118" s="60" t="s">
        <v>287</v>
      </c>
      <c r="C118" s="78"/>
      <c r="D118" s="1">
        <v>3210.0</v>
      </c>
      <c r="E118" s="254" t="s">
        <v>291</v>
      </c>
      <c r="F118" s="252">
        <f t="shared" si="1"/>
        <v>18454</v>
      </c>
    </row>
    <row r="119">
      <c r="A119" s="249">
        <v>45735.0</v>
      </c>
      <c r="B119" s="60" t="s">
        <v>275</v>
      </c>
      <c r="C119" s="78"/>
      <c r="D119" s="1">
        <v>60.0</v>
      </c>
      <c r="E119" s="254" t="s">
        <v>273</v>
      </c>
      <c r="F119" s="252">
        <f t="shared" si="1"/>
        <v>18394</v>
      </c>
    </row>
    <row r="120">
      <c r="A120" s="255"/>
      <c r="B120" s="60" t="s">
        <v>287</v>
      </c>
      <c r="C120" s="78"/>
      <c r="D120" s="1">
        <v>3050.0</v>
      </c>
      <c r="E120" s="254" t="s">
        <v>291</v>
      </c>
      <c r="F120" s="252">
        <f t="shared" si="1"/>
        <v>15344</v>
      </c>
    </row>
    <row r="121">
      <c r="A121" s="249">
        <v>45736.0</v>
      </c>
      <c r="B121" s="60" t="s">
        <v>287</v>
      </c>
      <c r="C121" s="78"/>
      <c r="D121" s="1">
        <v>2890.0</v>
      </c>
      <c r="E121" s="254" t="s">
        <v>291</v>
      </c>
      <c r="F121" s="252">
        <f t="shared" si="1"/>
        <v>12454</v>
      </c>
    </row>
    <row r="122">
      <c r="A122" s="249">
        <v>45737.0</v>
      </c>
      <c r="B122" s="60" t="s">
        <v>287</v>
      </c>
      <c r="C122" s="78"/>
      <c r="D122" s="1">
        <v>2474.0</v>
      </c>
      <c r="E122" s="254" t="s">
        <v>291</v>
      </c>
      <c r="F122" s="252">
        <f t="shared" si="1"/>
        <v>9980</v>
      </c>
    </row>
    <row r="123">
      <c r="A123" s="249">
        <v>45740.0</v>
      </c>
      <c r="B123" s="60" t="s">
        <v>287</v>
      </c>
      <c r="C123" s="78"/>
      <c r="D123" s="1">
        <v>2458.0</v>
      </c>
      <c r="E123" s="254">
        <v>9.029031E7</v>
      </c>
      <c r="F123" s="252">
        <f t="shared" si="1"/>
        <v>7522</v>
      </c>
    </row>
    <row r="124">
      <c r="A124" s="249">
        <v>45741.0</v>
      </c>
      <c r="B124" s="60" t="s">
        <v>287</v>
      </c>
      <c r="C124" s="78"/>
      <c r="D124" s="1">
        <v>3039.0</v>
      </c>
      <c r="E124" s="254">
        <v>9.029031E7</v>
      </c>
      <c r="F124" s="252">
        <f t="shared" si="1"/>
        <v>4483</v>
      </c>
    </row>
    <row r="125">
      <c r="A125" s="255"/>
      <c r="B125" s="60" t="s">
        <v>289</v>
      </c>
      <c r="C125" s="5">
        <v>30000.0</v>
      </c>
      <c r="D125" s="250"/>
      <c r="E125" s="251"/>
      <c r="F125" s="252">
        <f t="shared" si="1"/>
        <v>34483</v>
      </c>
    </row>
    <row r="126">
      <c r="A126" s="255"/>
      <c r="B126" s="60" t="s">
        <v>309</v>
      </c>
      <c r="C126" s="5">
        <v>32.0</v>
      </c>
      <c r="E126" s="254" t="s">
        <v>273</v>
      </c>
      <c r="F126" s="252">
        <f t="shared" si="1"/>
        <v>34515</v>
      </c>
    </row>
    <row r="127">
      <c r="A127" s="255"/>
      <c r="B127" s="60" t="s">
        <v>275</v>
      </c>
      <c r="C127" s="78"/>
      <c r="D127" s="1">
        <v>3.0</v>
      </c>
      <c r="E127" s="254" t="s">
        <v>273</v>
      </c>
      <c r="F127" s="252">
        <f t="shared" si="1"/>
        <v>34512</v>
      </c>
    </row>
    <row r="128">
      <c r="A128" s="249">
        <v>45742.0</v>
      </c>
      <c r="B128" s="60" t="s">
        <v>275</v>
      </c>
      <c r="C128" s="78"/>
      <c r="D128" s="1">
        <v>3.0</v>
      </c>
      <c r="E128" s="254" t="s">
        <v>273</v>
      </c>
      <c r="F128" s="252">
        <f t="shared" si="1"/>
        <v>34509</v>
      </c>
    </row>
    <row r="129">
      <c r="A129" s="255"/>
      <c r="B129" s="60" t="s">
        <v>287</v>
      </c>
      <c r="C129" s="78"/>
      <c r="D129" s="1">
        <v>3315.0</v>
      </c>
      <c r="E129" s="254" t="s">
        <v>291</v>
      </c>
      <c r="F129" s="252">
        <f t="shared" si="1"/>
        <v>31194</v>
      </c>
    </row>
    <row r="130">
      <c r="A130" s="249">
        <v>45743.0</v>
      </c>
      <c r="B130" s="60" t="s">
        <v>287</v>
      </c>
      <c r="C130" s="78"/>
      <c r="D130" s="1">
        <v>2546.0</v>
      </c>
      <c r="E130" s="254">
        <v>9.029031E7</v>
      </c>
      <c r="F130" s="252">
        <f t="shared" si="1"/>
        <v>28648</v>
      </c>
    </row>
    <row r="131">
      <c r="A131" s="249">
        <v>45744.0</v>
      </c>
      <c r="B131" s="60" t="s">
        <v>287</v>
      </c>
      <c r="C131" s="78"/>
      <c r="D131" s="1">
        <v>2688.0</v>
      </c>
      <c r="E131" s="254" t="s">
        <v>291</v>
      </c>
      <c r="F131" s="252">
        <f t="shared" si="1"/>
        <v>25960</v>
      </c>
    </row>
    <row r="132">
      <c r="A132" s="249">
        <v>45747.0</v>
      </c>
      <c r="B132" s="60" t="s">
        <v>287</v>
      </c>
      <c r="C132" s="78"/>
      <c r="D132" s="1">
        <v>2700.0</v>
      </c>
      <c r="E132" s="254">
        <v>9.029031E7</v>
      </c>
      <c r="F132" s="252">
        <f t="shared" si="1"/>
        <v>23260</v>
      </c>
    </row>
    <row r="133">
      <c r="A133" s="249">
        <v>45748.0</v>
      </c>
      <c r="B133" s="60" t="s">
        <v>287</v>
      </c>
      <c r="C133" s="78"/>
      <c r="D133" s="1">
        <v>2305.0</v>
      </c>
      <c r="E133" s="254">
        <v>9.029031E7</v>
      </c>
      <c r="F133" s="252">
        <f t="shared" si="1"/>
        <v>20955</v>
      </c>
    </row>
    <row r="134">
      <c r="A134" s="249">
        <v>45749.0</v>
      </c>
      <c r="B134" s="60" t="s">
        <v>287</v>
      </c>
      <c r="C134" s="78"/>
      <c r="D134" s="1">
        <v>2760.0</v>
      </c>
      <c r="E134" s="254" t="s">
        <v>291</v>
      </c>
      <c r="F134" s="252">
        <f t="shared" si="1"/>
        <v>18195</v>
      </c>
    </row>
    <row r="135">
      <c r="A135" s="249">
        <v>45754.0</v>
      </c>
      <c r="B135" s="60" t="s">
        <v>287</v>
      </c>
      <c r="C135" s="78"/>
      <c r="D135" s="1">
        <v>3060.0</v>
      </c>
      <c r="E135" s="254" t="s">
        <v>291</v>
      </c>
      <c r="F135" s="252">
        <f t="shared" si="1"/>
        <v>15135</v>
      </c>
    </row>
    <row r="136">
      <c r="A136" s="249">
        <v>45755.0</v>
      </c>
      <c r="B136" s="60" t="s">
        <v>287</v>
      </c>
      <c r="C136" s="78"/>
      <c r="D136" s="1">
        <v>3000.0</v>
      </c>
      <c r="E136" s="254">
        <v>9.029031E7</v>
      </c>
      <c r="F136" s="252">
        <f t="shared" si="1"/>
        <v>12135</v>
      </c>
    </row>
    <row r="137">
      <c r="A137" s="249">
        <v>45756.0</v>
      </c>
      <c r="B137" s="60" t="s">
        <v>287</v>
      </c>
      <c r="C137" s="78"/>
      <c r="D137" s="1">
        <v>3285.0</v>
      </c>
      <c r="E137" s="254">
        <v>9.029031E7</v>
      </c>
      <c r="F137" s="252">
        <f t="shared" si="1"/>
        <v>8850</v>
      </c>
    </row>
    <row r="138">
      <c r="A138" s="249">
        <v>45757.0</v>
      </c>
      <c r="B138" s="60" t="s">
        <v>289</v>
      </c>
      <c r="C138" s="5">
        <v>30000.0</v>
      </c>
      <c r="D138" s="250"/>
      <c r="E138" s="251"/>
      <c r="F138" s="252">
        <f t="shared" si="1"/>
        <v>38850</v>
      </c>
    </row>
    <row r="139">
      <c r="A139" s="255"/>
      <c r="B139" s="60" t="s">
        <v>275</v>
      </c>
      <c r="C139" s="78"/>
      <c r="D139" s="1">
        <v>12.0</v>
      </c>
      <c r="E139" s="254" t="s">
        <v>273</v>
      </c>
      <c r="F139" s="252">
        <f t="shared" si="1"/>
        <v>38838</v>
      </c>
    </row>
    <row r="140">
      <c r="A140" s="255"/>
      <c r="B140" s="60" t="s">
        <v>287</v>
      </c>
      <c r="C140" s="78"/>
      <c r="D140" s="1">
        <v>3220.0</v>
      </c>
      <c r="E140" s="254" t="s">
        <v>291</v>
      </c>
      <c r="F140" s="252">
        <f t="shared" si="1"/>
        <v>35618</v>
      </c>
    </row>
    <row r="141">
      <c r="A141" s="255"/>
      <c r="B141" s="60" t="s">
        <v>310</v>
      </c>
      <c r="C141" s="78"/>
      <c r="D141" s="1">
        <v>1731.0</v>
      </c>
      <c r="E141" s="254" t="s">
        <v>291</v>
      </c>
      <c r="F141" s="252">
        <f t="shared" si="1"/>
        <v>33887</v>
      </c>
    </row>
    <row r="142">
      <c r="A142" s="255"/>
      <c r="B142" s="60" t="s">
        <v>311</v>
      </c>
      <c r="C142" s="78"/>
      <c r="D142" s="1">
        <v>1469.0</v>
      </c>
      <c r="E142" s="254" t="s">
        <v>291</v>
      </c>
      <c r="F142" s="252">
        <f t="shared" si="1"/>
        <v>32418</v>
      </c>
    </row>
    <row r="143">
      <c r="A143" s="249">
        <v>45758.0</v>
      </c>
      <c r="B143" s="60" t="s">
        <v>287</v>
      </c>
      <c r="C143" s="78"/>
      <c r="D143" s="1">
        <v>2725.0</v>
      </c>
      <c r="E143" s="254" t="s">
        <v>291</v>
      </c>
      <c r="F143" s="252">
        <f t="shared" si="1"/>
        <v>29693</v>
      </c>
    </row>
    <row r="144">
      <c r="A144" s="249">
        <v>45761.0</v>
      </c>
      <c r="B144" s="60" t="s">
        <v>287</v>
      </c>
      <c r="C144" s="78"/>
      <c r="D144" s="1">
        <v>2180.0</v>
      </c>
      <c r="E144" s="254" t="s">
        <v>291</v>
      </c>
      <c r="F144" s="252">
        <f t="shared" si="1"/>
        <v>27513</v>
      </c>
    </row>
    <row r="145">
      <c r="A145" s="249">
        <v>45762.0</v>
      </c>
      <c r="B145" s="60" t="s">
        <v>287</v>
      </c>
      <c r="C145" s="78"/>
      <c r="D145" s="1">
        <v>2690.0</v>
      </c>
      <c r="E145" s="254" t="s">
        <v>291</v>
      </c>
      <c r="F145" s="252">
        <f t="shared" si="1"/>
        <v>24823</v>
      </c>
    </row>
    <row r="146">
      <c r="A146" s="249">
        <v>45763.0</v>
      </c>
      <c r="B146" s="60" t="s">
        <v>287</v>
      </c>
      <c r="C146" s="78"/>
      <c r="D146" s="1">
        <v>2865.0</v>
      </c>
      <c r="E146" s="254" t="s">
        <v>291</v>
      </c>
      <c r="F146" s="252">
        <f t="shared" si="1"/>
        <v>21958</v>
      </c>
    </row>
    <row r="147">
      <c r="A147" s="249">
        <v>45764.0</v>
      </c>
      <c r="B147" s="60" t="s">
        <v>312</v>
      </c>
      <c r="C147" s="78"/>
      <c r="D147" s="1">
        <v>988.0</v>
      </c>
      <c r="E147" s="254">
        <v>9.029031E7</v>
      </c>
      <c r="F147" s="252">
        <f t="shared" si="1"/>
        <v>20970</v>
      </c>
    </row>
    <row r="148">
      <c r="A148" s="255"/>
      <c r="B148" s="60" t="s">
        <v>313</v>
      </c>
      <c r="C148" s="78"/>
      <c r="D148" s="1">
        <v>10091.0</v>
      </c>
      <c r="E148" s="254">
        <v>9.029031E7</v>
      </c>
      <c r="F148" s="252">
        <f t="shared" si="1"/>
        <v>10879</v>
      </c>
    </row>
    <row r="149">
      <c r="A149" s="222"/>
      <c r="B149" s="60" t="s">
        <v>287</v>
      </c>
      <c r="C149" s="78"/>
      <c r="D149" s="1">
        <v>2800.0</v>
      </c>
      <c r="E149" s="254">
        <v>9.029031E7</v>
      </c>
      <c r="F149" s="252">
        <f t="shared" si="1"/>
        <v>8079</v>
      </c>
    </row>
    <row r="150">
      <c r="A150" s="222"/>
      <c r="B150" s="60" t="s">
        <v>289</v>
      </c>
      <c r="C150" s="5">
        <v>20000.0</v>
      </c>
      <c r="D150" s="250"/>
      <c r="E150" s="251"/>
      <c r="F150" s="252">
        <f t="shared" si="1"/>
        <v>28079</v>
      </c>
    </row>
    <row r="151">
      <c r="A151" s="249">
        <v>45765.0</v>
      </c>
      <c r="B151" s="60" t="s">
        <v>287</v>
      </c>
      <c r="C151" s="78"/>
      <c r="D151" s="1">
        <v>2615.0</v>
      </c>
      <c r="E151" s="254" t="s">
        <v>291</v>
      </c>
      <c r="F151" s="252">
        <f t="shared" si="1"/>
        <v>25464</v>
      </c>
    </row>
    <row r="152">
      <c r="A152" s="249">
        <v>45768.0</v>
      </c>
      <c r="B152" s="60" t="s">
        <v>287</v>
      </c>
      <c r="C152" s="78"/>
      <c r="D152" s="1">
        <v>2095.0</v>
      </c>
      <c r="E152" s="254" t="s">
        <v>291</v>
      </c>
      <c r="F152" s="252">
        <f t="shared" si="1"/>
        <v>23369</v>
      </c>
    </row>
    <row r="153">
      <c r="A153" s="249">
        <v>45769.0</v>
      </c>
      <c r="B153" s="60" t="s">
        <v>287</v>
      </c>
      <c r="C153" s="78"/>
      <c r="D153" s="1">
        <v>2745.0</v>
      </c>
      <c r="E153" s="254" t="s">
        <v>291</v>
      </c>
      <c r="F153" s="252">
        <f t="shared" si="1"/>
        <v>20624</v>
      </c>
    </row>
    <row r="154">
      <c r="A154" s="249">
        <v>45770.0</v>
      </c>
      <c r="B154" s="60" t="s">
        <v>287</v>
      </c>
      <c r="C154" s="78"/>
      <c r="D154" s="1">
        <v>2705.0</v>
      </c>
      <c r="E154" s="254" t="s">
        <v>291</v>
      </c>
      <c r="F154" s="252">
        <f t="shared" si="1"/>
        <v>17919</v>
      </c>
    </row>
    <row r="155">
      <c r="A155" s="255"/>
      <c r="B155" s="60" t="s">
        <v>314</v>
      </c>
      <c r="C155" s="5">
        <v>1812.0</v>
      </c>
      <c r="D155" s="250"/>
      <c r="E155" s="251"/>
      <c r="F155" s="252">
        <f t="shared" si="1"/>
        <v>19731</v>
      </c>
    </row>
    <row r="156">
      <c r="A156" s="249">
        <v>45771.0</v>
      </c>
      <c r="B156" s="60" t="s">
        <v>287</v>
      </c>
      <c r="C156" s="78"/>
      <c r="D156" s="1">
        <v>2495.0</v>
      </c>
      <c r="E156" s="254" t="s">
        <v>291</v>
      </c>
      <c r="F156" s="252">
        <f t="shared" si="1"/>
        <v>17236</v>
      </c>
    </row>
    <row r="157">
      <c r="A157" s="255"/>
      <c r="B157" s="60" t="s">
        <v>282</v>
      </c>
      <c r="C157" s="78"/>
      <c r="D157" s="1">
        <v>3000.0</v>
      </c>
      <c r="E157" s="254" t="s">
        <v>291</v>
      </c>
      <c r="F157" s="252">
        <f t="shared" si="1"/>
        <v>14236</v>
      </c>
    </row>
    <row r="158">
      <c r="A158" s="249">
        <v>45772.0</v>
      </c>
      <c r="B158" s="60" t="s">
        <v>287</v>
      </c>
      <c r="C158" s="78"/>
      <c r="D158" s="1">
        <v>2270.0</v>
      </c>
      <c r="E158" s="254" t="s">
        <v>291</v>
      </c>
      <c r="F158" s="252">
        <f t="shared" si="1"/>
        <v>11966</v>
      </c>
    </row>
    <row r="159">
      <c r="A159" s="249">
        <v>45775.0</v>
      </c>
      <c r="B159" s="60" t="s">
        <v>287</v>
      </c>
      <c r="C159" s="78"/>
      <c r="D159" s="1">
        <v>2150.0</v>
      </c>
      <c r="E159" s="254" t="s">
        <v>291</v>
      </c>
      <c r="F159" s="252">
        <f t="shared" si="1"/>
        <v>9816</v>
      </c>
    </row>
    <row r="160">
      <c r="A160" s="249">
        <v>45776.0</v>
      </c>
      <c r="B160" s="60" t="s">
        <v>287</v>
      </c>
      <c r="C160" s="78"/>
      <c r="D160" s="1">
        <v>3540.0</v>
      </c>
      <c r="E160" s="254" t="s">
        <v>291</v>
      </c>
      <c r="F160" s="252">
        <f t="shared" si="1"/>
        <v>6276</v>
      </c>
    </row>
    <row r="161">
      <c r="A161" s="255"/>
      <c r="B161" s="60" t="s">
        <v>315</v>
      </c>
      <c r="C161" s="78"/>
      <c r="D161" s="1">
        <v>36.0</v>
      </c>
      <c r="E161" s="254" t="s">
        <v>291</v>
      </c>
      <c r="F161" s="252">
        <f t="shared" si="1"/>
        <v>6240</v>
      </c>
    </row>
    <row r="162">
      <c r="A162" s="255"/>
      <c r="B162" s="60" t="s">
        <v>275</v>
      </c>
      <c r="C162" s="78"/>
      <c r="D162" s="1">
        <v>6.0</v>
      </c>
      <c r="E162" s="254" t="s">
        <v>273</v>
      </c>
      <c r="F162" s="252">
        <f t="shared" si="1"/>
        <v>6234</v>
      </c>
    </row>
    <row r="163">
      <c r="A163" s="255"/>
      <c r="B163" s="60" t="s">
        <v>265</v>
      </c>
      <c r="C163" s="5">
        <v>20000.0</v>
      </c>
      <c r="D163" s="250"/>
      <c r="E163" s="251"/>
      <c r="F163" s="252">
        <f t="shared" si="1"/>
        <v>26234</v>
      </c>
    </row>
    <row r="164">
      <c r="A164" s="249">
        <v>45777.0</v>
      </c>
      <c r="B164" s="60" t="s">
        <v>287</v>
      </c>
      <c r="C164" s="78"/>
      <c r="D164" s="1">
        <v>3060.0</v>
      </c>
      <c r="E164" s="254" t="s">
        <v>291</v>
      </c>
      <c r="F164" s="252">
        <f t="shared" si="1"/>
        <v>23174</v>
      </c>
    </row>
    <row r="165">
      <c r="A165" s="249">
        <v>45779.0</v>
      </c>
      <c r="B165" s="60" t="s">
        <v>287</v>
      </c>
      <c r="C165" s="78"/>
      <c r="D165" s="1">
        <v>2292.0</v>
      </c>
      <c r="E165" s="254">
        <v>9.029031E7</v>
      </c>
      <c r="F165" s="252">
        <f t="shared" si="1"/>
        <v>20882</v>
      </c>
    </row>
    <row r="166">
      <c r="A166" s="249">
        <v>45782.0</v>
      </c>
      <c r="B166" s="60" t="s">
        <v>316</v>
      </c>
      <c r="C166" s="78"/>
      <c r="D166" s="1">
        <v>108.0</v>
      </c>
      <c r="E166" s="254" t="s">
        <v>273</v>
      </c>
      <c r="F166" s="252">
        <f t="shared" si="1"/>
        <v>20774</v>
      </c>
    </row>
    <row r="167">
      <c r="A167" s="255"/>
      <c r="B167" s="60" t="s">
        <v>275</v>
      </c>
      <c r="C167" s="5"/>
      <c r="D167" s="1">
        <v>45.0</v>
      </c>
      <c r="E167" s="254" t="s">
        <v>273</v>
      </c>
      <c r="F167" s="252">
        <f t="shared" si="1"/>
        <v>20729</v>
      </c>
    </row>
    <row r="168">
      <c r="A168" s="255"/>
      <c r="B168" s="60" t="s">
        <v>287</v>
      </c>
      <c r="C168" s="78"/>
      <c r="D168" s="1">
        <v>2055.0</v>
      </c>
      <c r="E168" s="254" t="s">
        <v>273</v>
      </c>
      <c r="F168" s="252">
        <f t="shared" si="1"/>
        <v>18674</v>
      </c>
    </row>
    <row r="169">
      <c r="A169" s="249">
        <v>45783.0</v>
      </c>
      <c r="B169" s="60" t="s">
        <v>287</v>
      </c>
      <c r="C169" s="78"/>
      <c r="D169" s="1">
        <v>2310.0</v>
      </c>
      <c r="E169" s="254" t="s">
        <v>291</v>
      </c>
      <c r="F169" s="252">
        <f t="shared" si="1"/>
        <v>16364</v>
      </c>
    </row>
    <row r="170">
      <c r="A170" s="249"/>
      <c r="B170" s="60" t="s">
        <v>317</v>
      </c>
      <c r="C170" s="78"/>
      <c r="D170" s="1">
        <v>3000.0</v>
      </c>
      <c r="E170" s="251"/>
      <c r="F170" s="252">
        <f t="shared" si="1"/>
        <v>13364</v>
      </c>
    </row>
    <row r="171">
      <c r="A171" s="249">
        <v>45784.0</v>
      </c>
      <c r="B171" s="60" t="s">
        <v>318</v>
      </c>
      <c r="C171" s="5">
        <v>3000.0</v>
      </c>
      <c r="D171" s="250"/>
      <c r="E171" s="251"/>
      <c r="F171" s="252">
        <f t="shared" si="1"/>
        <v>16364</v>
      </c>
    </row>
    <row r="172">
      <c r="A172" s="249"/>
      <c r="B172" s="60" t="s">
        <v>287</v>
      </c>
      <c r="C172" s="78"/>
      <c r="D172" s="1">
        <v>1986.0</v>
      </c>
      <c r="E172" s="254" t="s">
        <v>291</v>
      </c>
      <c r="F172" s="252">
        <f t="shared" si="1"/>
        <v>14378</v>
      </c>
    </row>
    <row r="173">
      <c r="A173" s="255"/>
      <c r="B173" s="60" t="s">
        <v>319</v>
      </c>
      <c r="C173" s="78"/>
      <c r="D173" s="1">
        <v>35.0</v>
      </c>
      <c r="E173" s="254">
        <v>9.029031E7</v>
      </c>
      <c r="F173" s="252">
        <f t="shared" si="1"/>
        <v>14343</v>
      </c>
    </row>
    <row r="174">
      <c r="A174" s="249">
        <v>45785.0</v>
      </c>
      <c r="B174" s="60" t="s">
        <v>287</v>
      </c>
      <c r="C174" s="78"/>
      <c r="D174" s="1">
        <v>3104.0</v>
      </c>
      <c r="E174" s="254" t="s">
        <v>291</v>
      </c>
      <c r="F174" s="252">
        <f t="shared" si="1"/>
        <v>11239</v>
      </c>
    </row>
    <row r="175">
      <c r="A175" s="249">
        <v>45786.0</v>
      </c>
      <c r="B175" s="60" t="s">
        <v>287</v>
      </c>
      <c r="C175" s="78"/>
      <c r="D175" s="1">
        <v>1954.0</v>
      </c>
      <c r="E175" s="254">
        <v>9.029031E7</v>
      </c>
      <c r="F175" s="252">
        <f t="shared" si="1"/>
        <v>9285</v>
      </c>
    </row>
    <row r="176">
      <c r="A176" s="255"/>
      <c r="B176" s="60" t="s">
        <v>275</v>
      </c>
      <c r="C176" s="78"/>
      <c r="D176" s="1">
        <v>6.0</v>
      </c>
      <c r="E176" s="254">
        <v>9.029031E7</v>
      </c>
      <c r="F176" s="252">
        <f t="shared" si="1"/>
        <v>9279</v>
      </c>
    </row>
    <row r="177">
      <c r="A177" s="255"/>
      <c r="B177" s="60" t="s">
        <v>320</v>
      </c>
      <c r="C177" s="78"/>
      <c r="D177" s="1">
        <v>2349.0</v>
      </c>
      <c r="E177" s="254">
        <v>9.029031E7</v>
      </c>
      <c r="F177" s="252">
        <f t="shared" si="1"/>
        <v>6930</v>
      </c>
    </row>
    <row r="178">
      <c r="A178" s="255"/>
      <c r="B178" s="60" t="s">
        <v>321</v>
      </c>
      <c r="C178" s="78"/>
      <c r="D178" s="1">
        <v>755.0</v>
      </c>
      <c r="E178" s="254">
        <v>9.029031E7</v>
      </c>
      <c r="F178" s="252">
        <f t="shared" si="1"/>
        <v>6175</v>
      </c>
    </row>
    <row r="179">
      <c r="A179" s="249">
        <v>45789.0</v>
      </c>
      <c r="B179" s="60" t="s">
        <v>287</v>
      </c>
      <c r="C179" s="78"/>
      <c r="D179" s="1">
        <v>2765.0</v>
      </c>
      <c r="E179" s="254">
        <v>9.029031E7</v>
      </c>
      <c r="F179" s="252">
        <f t="shared" si="1"/>
        <v>3410</v>
      </c>
    </row>
    <row r="180">
      <c r="A180" s="255"/>
      <c r="B180" s="60" t="s">
        <v>289</v>
      </c>
      <c r="C180" s="5">
        <v>20000.0</v>
      </c>
      <c r="D180" s="250"/>
      <c r="E180" s="251"/>
      <c r="F180" s="252">
        <f t="shared" si="1"/>
        <v>23410</v>
      </c>
    </row>
    <row r="181">
      <c r="A181" s="255"/>
      <c r="B181" s="60" t="s">
        <v>322</v>
      </c>
      <c r="C181" s="5">
        <v>6574.0</v>
      </c>
      <c r="D181" s="250"/>
      <c r="E181" s="254" t="s">
        <v>323</v>
      </c>
      <c r="F181" s="252">
        <f t="shared" si="1"/>
        <v>29984</v>
      </c>
    </row>
    <row r="182">
      <c r="A182" s="249">
        <v>45790.0</v>
      </c>
      <c r="B182" s="60" t="s">
        <v>275</v>
      </c>
      <c r="C182" s="78"/>
      <c r="D182" s="1">
        <v>72.0</v>
      </c>
      <c r="E182" s="254">
        <v>9.029031E7</v>
      </c>
      <c r="F182" s="252">
        <f t="shared" si="1"/>
        <v>29912</v>
      </c>
    </row>
    <row r="183">
      <c r="A183" s="255"/>
      <c r="B183" s="60" t="s">
        <v>287</v>
      </c>
      <c r="C183" s="78"/>
      <c r="D183" s="1">
        <v>2000.0</v>
      </c>
      <c r="E183" s="254" t="s">
        <v>291</v>
      </c>
      <c r="F183" s="252">
        <f t="shared" si="1"/>
        <v>27912</v>
      </c>
    </row>
    <row r="184">
      <c r="A184" s="249">
        <v>45791.0</v>
      </c>
      <c r="B184" s="60" t="s">
        <v>287</v>
      </c>
      <c r="C184" s="78"/>
      <c r="D184" s="1">
        <v>2660.0</v>
      </c>
      <c r="E184" s="254" t="s">
        <v>291</v>
      </c>
      <c r="F184" s="252">
        <f t="shared" si="1"/>
        <v>25252</v>
      </c>
    </row>
    <row r="185">
      <c r="A185" s="249">
        <v>45792.0</v>
      </c>
      <c r="B185" s="60" t="s">
        <v>287</v>
      </c>
      <c r="C185" s="78"/>
      <c r="D185" s="1">
        <v>2260.0</v>
      </c>
      <c r="E185" s="254" t="s">
        <v>291</v>
      </c>
      <c r="F185" s="252">
        <f t="shared" si="1"/>
        <v>22992</v>
      </c>
    </row>
    <row r="186">
      <c r="A186" s="249">
        <v>45793.0</v>
      </c>
      <c r="B186" s="60" t="s">
        <v>287</v>
      </c>
      <c r="C186" s="78"/>
      <c r="D186" s="1">
        <v>2610.0</v>
      </c>
      <c r="E186" s="254" t="s">
        <v>291</v>
      </c>
      <c r="F186" s="252">
        <f t="shared" si="1"/>
        <v>20382</v>
      </c>
    </row>
    <row r="187">
      <c r="A187" s="249">
        <v>45796.0</v>
      </c>
      <c r="B187" s="60" t="s">
        <v>287</v>
      </c>
      <c r="C187" s="78"/>
      <c r="D187" s="1">
        <v>1810.0</v>
      </c>
      <c r="E187" s="254" t="s">
        <v>291</v>
      </c>
      <c r="F187" s="252">
        <f t="shared" si="1"/>
        <v>18572</v>
      </c>
    </row>
    <row r="188">
      <c r="A188" s="249">
        <v>45797.0</v>
      </c>
      <c r="B188" s="60" t="s">
        <v>287</v>
      </c>
      <c r="C188" s="78"/>
      <c r="D188" s="1">
        <v>2650.0</v>
      </c>
      <c r="E188" s="254" t="s">
        <v>291</v>
      </c>
      <c r="F188" s="252">
        <f t="shared" si="1"/>
        <v>15922</v>
      </c>
    </row>
    <row r="189">
      <c r="A189" s="249">
        <v>45798.0</v>
      </c>
      <c r="B189" s="60" t="s">
        <v>287</v>
      </c>
      <c r="C189" s="78"/>
      <c r="D189" s="1">
        <v>2110.0</v>
      </c>
      <c r="E189" s="254" t="s">
        <v>291</v>
      </c>
      <c r="F189" s="252">
        <f t="shared" si="1"/>
        <v>13812</v>
      </c>
    </row>
    <row r="190">
      <c r="A190" s="249">
        <v>45799.0</v>
      </c>
      <c r="B190" s="60" t="s">
        <v>287</v>
      </c>
      <c r="C190" s="78"/>
      <c r="D190" s="1">
        <v>2255.0</v>
      </c>
      <c r="E190" s="254" t="s">
        <v>291</v>
      </c>
      <c r="F190" s="252">
        <f t="shared" si="1"/>
        <v>11557</v>
      </c>
    </row>
    <row r="191">
      <c r="A191" s="249">
        <v>45800.0</v>
      </c>
      <c r="B191" s="60" t="s">
        <v>287</v>
      </c>
      <c r="C191" s="78"/>
      <c r="D191" s="1">
        <v>2284.0</v>
      </c>
      <c r="E191" s="254" t="s">
        <v>291</v>
      </c>
      <c r="F191" s="252">
        <f t="shared" si="1"/>
        <v>9273</v>
      </c>
    </row>
    <row r="192">
      <c r="A192" s="255"/>
      <c r="B192" s="60" t="s">
        <v>275</v>
      </c>
      <c r="C192" s="78"/>
      <c r="D192" s="1">
        <v>24.0</v>
      </c>
      <c r="E192" s="254">
        <v>9.029031E7</v>
      </c>
      <c r="F192" s="252">
        <f t="shared" si="1"/>
        <v>9249</v>
      </c>
    </row>
    <row r="193">
      <c r="A193" s="249">
        <v>45803.0</v>
      </c>
      <c r="B193" s="60" t="s">
        <v>287</v>
      </c>
      <c r="C193" s="78"/>
      <c r="D193" s="1">
        <v>2140.0</v>
      </c>
      <c r="E193" s="254" t="s">
        <v>291</v>
      </c>
      <c r="F193" s="252">
        <f t="shared" si="1"/>
        <v>7109</v>
      </c>
    </row>
    <row r="194">
      <c r="A194" s="255"/>
      <c r="B194" s="60" t="s">
        <v>289</v>
      </c>
      <c r="C194" s="5">
        <v>20000.0</v>
      </c>
      <c r="D194" s="250"/>
      <c r="E194" s="251"/>
      <c r="F194" s="252">
        <f t="shared" si="1"/>
        <v>27109</v>
      </c>
    </row>
    <row r="195">
      <c r="A195" s="255"/>
      <c r="B195" s="60" t="s">
        <v>324</v>
      </c>
      <c r="C195" s="5">
        <v>125.0</v>
      </c>
      <c r="D195" s="1"/>
      <c r="E195" s="251"/>
      <c r="F195" s="252">
        <f t="shared" si="1"/>
        <v>27234</v>
      </c>
    </row>
    <row r="196">
      <c r="A196" s="249">
        <v>45804.0</v>
      </c>
      <c r="B196" s="60" t="s">
        <v>287</v>
      </c>
      <c r="C196" s="78"/>
      <c r="D196" s="1">
        <v>2090.0</v>
      </c>
      <c r="E196" s="254" t="s">
        <v>291</v>
      </c>
      <c r="F196" s="252">
        <f t="shared" si="1"/>
        <v>25144</v>
      </c>
    </row>
    <row r="197">
      <c r="A197" s="249">
        <v>45805.0</v>
      </c>
      <c r="B197" s="60" t="s">
        <v>287</v>
      </c>
      <c r="C197" s="78"/>
      <c r="D197" s="1">
        <v>2481.0</v>
      </c>
      <c r="E197" s="254">
        <v>9.7535819E7</v>
      </c>
      <c r="F197" s="252">
        <f t="shared" si="1"/>
        <v>22663</v>
      </c>
    </row>
    <row r="198">
      <c r="A198" s="249">
        <v>45806.0</v>
      </c>
      <c r="B198" s="60" t="s">
        <v>287</v>
      </c>
      <c r="C198" s="78"/>
      <c r="D198" s="1">
        <v>1885.0</v>
      </c>
      <c r="E198" s="254">
        <v>9.7535819E7</v>
      </c>
      <c r="F198" s="252">
        <f t="shared" si="1"/>
        <v>20778</v>
      </c>
    </row>
    <row r="199">
      <c r="A199" s="249">
        <v>45810.0</v>
      </c>
      <c r="B199" s="60" t="s">
        <v>287</v>
      </c>
      <c r="C199" s="78"/>
      <c r="D199" s="1">
        <v>2752.0</v>
      </c>
      <c r="E199" s="254">
        <v>9.7535819E7</v>
      </c>
      <c r="F199" s="252">
        <f t="shared" si="1"/>
        <v>18026</v>
      </c>
    </row>
    <row r="200">
      <c r="A200" s="249">
        <v>45811.0</v>
      </c>
      <c r="B200" s="60" t="s">
        <v>287</v>
      </c>
      <c r="C200" s="78"/>
      <c r="D200" s="1">
        <v>1795.0</v>
      </c>
      <c r="E200" s="254" t="s">
        <v>291</v>
      </c>
      <c r="F200" s="252">
        <f t="shared" si="1"/>
        <v>16231</v>
      </c>
    </row>
    <row r="201">
      <c r="A201" s="249">
        <v>45812.0</v>
      </c>
      <c r="B201" s="60" t="s">
        <v>287</v>
      </c>
      <c r="C201" s="78"/>
      <c r="D201" s="1">
        <v>2690.0</v>
      </c>
      <c r="E201" s="254">
        <v>9.029031E7</v>
      </c>
      <c r="F201" s="252">
        <f t="shared" si="1"/>
        <v>13541</v>
      </c>
    </row>
    <row r="202">
      <c r="A202" s="255"/>
      <c r="B202" s="60" t="s">
        <v>275</v>
      </c>
      <c r="C202" s="78"/>
      <c r="D202" s="1">
        <v>3.0</v>
      </c>
      <c r="E202" s="254">
        <v>9.029031E7</v>
      </c>
      <c r="F202" s="252">
        <f t="shared" si="1"/>
        <v>13538</v>
      </c>
    </row>
    <row r="203">
      <c r="A203" s="249">
        <v>45813.0</v>
      </c>
      <c r="B203" s="60" t="s">
        <v>287</v>
      </c>
      <c r="C203" s="78"/>
      <c r="D203" s="1">
        <v>2555.0</v>
      </c>
      <c r="E203" s="254" t="s">
        <v>291</v>
      </c>
      <c r="F203" s="252">
        <f t="shared" si="1"/>
        <v>10983</v>
      </c>
    </row>
    <row r="204">
      <c r="A204" s="249">
        <v>45814.0</v>
      </c>
      <c r="B204" s="60" t="s">
        <v>287</v>
      </c>
      <c r="C204" s="78"/>
      <c r="D204" s="1">
        <v>2314.0</v>
      </c>
      <c r="E204" s="254" t="s">
        <v>325</v>
      </c>
      <c r="F204" s="252">
        <f t="shared" si="1"/>
        <v>8669</v>
      </c>
    </row>
    <row r="205">
      <c r="A205" s="249">
        <v>45817.0</v>
      </c>
      <c r="B205" s="60" t="s">
        <v>287</v>
      </c>
      <c r="C205" s="78"/>
      <c r="D205" s="1">
        <v>2555.0</v>
      </c>
      <c r="E205" s="254" t="s">
        <v>291</v>
      </c>
      <c r="F205" s="252">
        <f t="shared" si="1"/>
        <v>6114</v>
      </c>
    </row>
    <row r="206">
      <c r="A206" s="255"/>
      <c r="B206" s="60" t="s">
        <v>275</v>
      </c>
      <c r="C206" s="78"/>
      <c r="D206" s="1">
        <v>51.0</v>
      </c>
      <c r="E206" s="254">
        <v>9.029031E7</v>
      </c>
      <c r="F206" s="252">
        <f t="shared" si="1"/>
        <v>6063</v>
      </c>
    </row>
    <row r="207">
      <c r="A207" s="255"/>
      <c r="B207" s="60" t="s">
        <v>326</v>
      </c>
      <c r="C207" s="78"/>
      <c r="D207" s="1">
        <v>4972.0</v>
      </c>
      <c r="E207" s="254">
        <v>9.029031E7</v>
      </c>
      <c r="F207" s="252">
        <f t="shared" si="1"/>
        <v>1091</v>
      </c>
    </row>
    <row r="208">
      <c r="A208" s="255"/>
      <c r="B208" s="60" t="s">
        <v>289</v>
      </c>
      <c r="C208" s="5">
        <v>20000.0</v>
      </c>
      <c r="D208" s="250"/>
      <c r="E208" s="251"/>
      <c r="F208" s="252">
        <f t="shared" si="1"/>
        <v>21091</v>
      </c>
    </row>
    <row r="209">
      <c r="A209" s="249">
        <v>45818.0</v>
      </c>
      <c r="B209" s="60" t="s">
        <v>287</v>
      </c>
      <c r="C209" s="78"/>
      <c r="D209" s="1">
        <v>2975.0</v>
      </c>
      <c r="E209" s="254" t="s">
        <v>291</v>
      </c>
      <c r="F209" s="252">
        <f t="shared" si="1"/>
        <v>18116</v>
      </c>
    </row>
    <row r="210">
      <c r="A210" s="255"/>
      <c r="B210" s="60" t="s">
        <v>327</v>
      </c>
      <c r="C210" s="78"/>
      <c r="D210" s="1">
        <v>1496.0</v>
      </c>
      <c r="E210" s="254" t="s">
        <v>291</v>
      </c>
      <c r="F210" s="252">
        <f t="shared" si="1"/>
        <v>16620</v>
      </c>
    </row>
    <row r="211">
      <c r="A211" s="255"/>
      <c r="B211" s="60" t="s">
        <v>328</v>
      </c>
      <c r="C211" s="78"/>
      <c r="D211" s="1">
        <v>2120.0</v>
      </c>
      <c r="E211" s="254">
        <v>9.029031E7</v>
      </c>
      <c r="F211" s="252">
        <f t="shared" si="1"/>
        <v>14500</v>
      </c>
    </row>
    <row r="212">
      <c r="A212" s="249">
        <v>45819.0</v>
      </c>
      <c r="B212" s="60" t="s">
        <v>287</v>
      </c>
      <c r="C212" s="78"/>
      <c r="D212" s="1">
        <v>3150.0</v>
      </c>
      <c r="E212" s="254" t="s">
        <v>291</v>
      </c>
      <c r="F212" s="252">
        <f t="shared" si="1"/>
        <v>11350</v>
      </c>
    </row>
    <row r="213">
      <c r="A213" s="249">
        <v>45820.0</v>
      </c>
      <c r="B213" s="60" t="s">
        <v>287</v>
      </c>
      <c r="C213" s="78"/>
      <c r="D213" s="1">
        <v>2195.0</v>
      </c>
      <c r="E213" s="254" t="s">
        <v>291</v>
      </c>
      <c r="F213" s="252">
        <f t="shared" si="1"/>
        <v>9155</v>
      </c>
    </row>
    <row r="214">
      <c r="A214" s="249">
        <v>45821.0</v>
      </c>
      <c r="B214" s="60" t="s">
        <v>287</v>
      </c>
      <c r="C214" s="78"/>
      <c r="D214" s="1">
        <v>2299.0</v>
      </c>
      <c r="E214" s="254">
        <v>9.029031E7</v>
      </c>
      <c r="F214" s="252">
        <f t="shared" si="1"/>
        <v>6856</v>
      </c>
    </row>
    <row r="215">
      <c r="A215" s="249">
        <v>45824.0</v>
      </c>
      <c r="B215" s="60" t="s">
        <v>287</v>
      </c>
      <c r="C215" s="78"/>
      <c r="D215" s="1">
        <v>2290.0</v>
      </c>
      <c r="E215" s="254">
        <v>9.0729473E7</v>
      </c>
      <c r="F215" s="252">
        <f t="shared" si="1"/>
        <v>4566</v>
      </c>
    </row>
    <row r="216">
      <c r="A216" s="249">
        <v>45825.0</v>
      </c>
      <c r="B216" s="60" t="s">
        <v>287</v>
      </c>
      <c r="C216" s="78"/>
      <c r="D216" s="1">
        <v>2960.0</v>
      </c>
      <c r="E216" s="254" t="s">
        <v>291</v>
      </c>
      <c r="F216" s="252">
        <f t="shared" si="1"/>
        <v>1606</v>
      </c>
    </row>
    <row r="217">
      <c r="A217" s="255"/>
      <c r="B217" s="60" t="s">
        <v>289</v>
      </c>
      <c r="C217" s="5">
        <v>30000.0</v>
      </c>
      <c r="D217" s="250"/>
      <c r="E217" s="251"/>
      <c r="F217" s="252">
        <f t="shared" si="1"/>
        <v>31606</v>
      </c>
    </row>
    <row r="218">
      <c r="A218" s="255"/>
      <c r="B218" s="60" t="s">
        <v>329</v>
      </c>
      <c r="C218" s="78"/>
      <c r="D218" s="1">
        <v>2880.0</v>
      </c>
      <c r="E218" s="254">
        <v>9.029031E7</v>
      </c>
      <c r="F218" s="252">
        <f t="shared" si="1"/>
        <v>28726</v>
      </c>
    </row>
    <row r="219">
      <c r="A219" s="249">
        <v>45826.0</v>
      </c>
      <c r="B219" s="60" t="s">
        <v>287</v>
      </c>
      <c r="C219" s="78"/>
      <c r="D219" s="1">
        <v>3075.0</v>
      </c>
      <c r="E219" s="254" t="s">
        <v>291</v>
      </c>
      <c r="F219" s="252">
        <f t="shared" si="1"/>
        <v>25651</v>
      </c>
    </row>
    <row r="220">
      <c r="A220" s="249">
        <v>45827.0</v>
      </c>
      <c r="B220" s="60" t="s">
        <v>287</v>
      </c>
      <c r="C220" s="78"/>
      <c r="D220" s="1">
        <v>3615.0</v>
      </c>
      <c r="E220" s="254" t="s">
        <v>291</v>
      </c>
      <c r="F220" s="252">
        <f t="shared" si="1"/>
        <v>22036</v>
      </c>
    </row>
    <row r="221">
      <c r="A221" s="249">
        <v>45828.0</v>
      </c>
      <c r="B221" s="60" t="s">
        <v>287</v>
      </c>
      <c r="C221" s="78"/>
      <c r="D221" s="1">
        <v>2600.0</v>
      </c>
      <c r="E221" s="254">
        <v>9.029031E7</v>
      </c>
      <c r="F221" s="252">
        <f t="shared" si="1"/>
        <v>19436</v>
      </c>
    </row>
    <row r="222">
      <c r="A222" s="249">
        <v>45831.0</v>
      </c>
      <c r="B222" s="60" t="s">
        <v>287</v>
      </c>
      <c r="C222" s="5"/>
      <c r="D222" s="1">
        <v>2290.0</v>
      </c>
      <c r="E222" s="254" t="s">
        <v>291</v>
      </c>
      <c r="F222" s="252">
        <f t="shared" si="1"/>
        <v>17146</v>
      </c>
    </row>
    <row r="223">
      <c r="A223" s="255"/>
      <c r="B223" s="60" t="s">
        <v>330</v>
      </c>
      <c r="C223" s="5">
        <v>2880.0</v>
      </c>
      <c r="D223" s="250"/>
      <c r="E223" s="251"/>
      <c r="F223" s="252">
        <f t="shared" si="1"/>
        <v>20026</v>
      </c>
    </row>
    <row r="224">
      <c r="A224" s="249">
        <v>45832.0</v>
      </c>
      <c r="B224" s="60" t="s">
        <v>287</v>
      </c>
      <c r="C224" s="78"/>
      <c r="D224" s="1">
        <v>2770.0</v>
      </c>
      <c r="E224" s="254">
        <v>9.0729473E7</v>
      </c>
      <c r="F224" s="252">
        <f t="shared" si="1"/>
        <v>17256</v>
      </c>
    </row>
    <row r="225">
      <c r="A225" s="249">
        <v>45833.0</v>
      </c>
      <c r="B225" s="60" t="s">
        <v>287</v>
      </c>
      <c r="C225" s="5"/>
      <c r="D225" s="1">
        <v>3130.0</v>
      </c>
      <c r="E225" s="251"/>
      <c r="F225" s="252">
        <f t="shared" si="1"/>
        <v>14126</v>
      </c>
    </row>
    <row r="226">
      <c r="A226" s="255"/>
      <c r="B226" s="60" t="s">
        <v>275</v>
      </c>
      <c r="C226" s="78"/>
      <c r="D226" s="1">
        <v>21.0</v>
      </c>
      <c r="E226" s="254">
        <v>9.0729473E7</v>
      </c>
      <c r="F226" s="252">
        <f t="shared" si="1"/>
        <v>14105</v>
      </c>
    </row>
    <row r="227">
      <c r="A227" s="255"/>
      <c r="B227" s="60" t="s">
        <v>331</v>
      </c>
      <c r="C227" s="78"/>
      <c r="D227" s="1">
        <v>9.0</v>
      </c>
      <c r="E227" s="251"/>
      <c r="F227" s="252">
        <f t="shared" si="1"/>
        <v>14096</v>
      </c>
    </row>
    <row r="228">
      <c r="A228" s="249">
        <v>45834.0</v>
      </c>
      <c r="B228" s="60" t="s">
        <v>287</v>
      </c>
      <c r="C228" s="78"/>
      <c r="D228" s="1">
        <v>2850.0</v>
      </c>
      <c r="E228" s="254">
        <v>9.0729473E7</v>
      </c>
      <c r="F228" s="252">
        <f t="shared" si="1"/>
        <v>11246</v>
      </c>
    </row>
    <row r="229">
      <c r="A229" s="255"/>
      <c r="B229" s="60" t="s">
        <v>275</v>
      </c>
      <c r="C229" s="78"/>
      <c r="D229" s="1">
        <v>12.0</v>
      </c>
      <c r="E229" s="254">
        <v>9.029031E7</v>
      </c>
      <c r="F229" s="252">
        <f t="shared" si="1"/>
        <v>11234</v>
      </c>
    </row>
    <row r="230">
      <c r="A230" s="249">
        <v>45835.0</v>
      </c>
      <c r="B230" s="60" t="s">
        <v>287</v>
      </c>
      <c r="C230" s="5"/>
      <c r="D230" s="1">
        <v>2250.0</v>
      </c>
      <c r="E230" s="254">
        <v>9.0729473E7</v>
      </c>
      <c r="F230" s="252">
        <f t="shared" si="1"/>
        <v>8984</v>
      </c>
    </row>
    <row r="231">
      <c r="A231" s="249">
        <v>45838.0</v>
      </c>
      <c r="B231" s="60" t="s">
        <v>287</v>
      </c>
      <c r="C231" s="78"/>
      <c r="D231" s="1">
        <v>2931.0</v>
      </c>
      <c r="E231" s="254">
        <v>9.7535819E7</v>
      </c>
      <c r="F231" s="252">
        <f t="shared" si="1"/>
        <v>6053</v>
      </c>
    </row>
    <row r="232">
      <c r="A232" s="249"/>
      <c r="B232" s="257" t="s">
        <v>332</v>
      </c>
      <c r="C232" s="78"/>
      <c r="D232" s="1">
        <v>100.0</v>
      </c>
      <c r="E232" s="251"/>
      <c r="F232" s="252">
        <f t="shared" si="1"/>
        <v>5953</v>
      </c>
    </row>
    <row r="233">
      <c r="A233" s="249"/>
      <c r="B233" s="60" t="s">
        <v>333</v>
      </c>
      <c r="C233" s="78"/>
      <c r="D233" s="1">
        <v>638.0</v>
      </c>
      <c r="E233" s="254">
        <v>9.029031E7</v>
      </c>
      <c r="F233" s="252">
        <f t="shared" si="1"/>
        <v>5315</v>
      </c>
    </row>
    <row r="234">
      <c r="A234" s="249">
        <v>45839.0</v>
      </c>
      <c r="B234" s="60" t="s">
        <v>287</v>
      </c>
      <c r="C234" s="78"/>
      <c r="D234" s="1">
        <v>3618.0</v>
      </c>
      <c r="E234" s="254" t="s">
        <v>291</v>
      </c>
      <c r="F234" s="252">
        <f t="shared" si="1"/>
        <v>1697</v>
      </c>
    </row>
    <row r="235">
      <c r="A235" s="255"/>
      <c r="B235" s="39"/>
      <c r="C235" s="5">
        <v>30000.0</v>
      </c>
      <c r="D235" s="250"/>
      <c r="E235" s="251"/>
      <c r="F235" s="252">
        <f t="shared" si="1"/>
        <v>31697</v>
      </c>
    </row>
    <row r="236">
      <c r="A236" s="249">
        <v>45840.0</v>
      </c>
      <c r="B236" s="60" t="s">
        <v>287</v>
      </c>
      <c r="C236" s="78"/>
      <c r="D236" s="1">
        <v>3450.0</v>
      </c>
      <c r="E236" s="251"/>
      <c r="F236" s="252">
        <f t="shared" si="1"/>
        <v>28247</v>
      </c>
    </row>
    <row r="237">
      <c r="A237" s="249">
        <v>45841.0</v>
      </c>
      <c r="B237" s="60" t="s">
        <v>287</v>
      </c>
      <c r="C237" s="78"/>
      <c r="D237" s="1">
        <v>3023.0</v>
      </c>
      <c r="E237" s="254" t="s">
        <v>291</v>
      </c>
      <c r="F237" s="252">
        <f t="shared" si="1"/>
        <v>25224</v>
      </c>
    </row>
    <row r="238">
      <c r="A238" s="255"/>
      <c r="B238" s="60" t="s">
        <v>334</v>
      </c>
      <c r="C238" s="78"/>
      <c r="D238" s="1">
        <v>4992.0</v>
      </c>
      <c r="E238" s="254">
        <v>9.029031E7</v>
      </c>
      <c r="F238" s="252">
        <f t="shared" si="1"/>
        <v>20232</v>
      </c>
    </row>
    <row r="239">
      <c r="A239" s="249">
        <v>45842.0</v>
      </c>
      <c r="B239" s="60" t="s">
        <v>287</v>
      </c>
      <c r="C239" s="78"/>
      <c r="D239" s="1">
        <v>2600.0</v>
      </c>
      <c r="E239" s="254">
        <v>9.0729473E7</v>
      </c>
      <c r="F239" s="252">
        <f t="shared" si="1"/>
        <v>17632</v>
      </c>
    </row>
    <row r="240">
      <c r="A240" s="249">
        <v>45846.0</v>
      </c>
      <c r="B240" s="60" t="s">
        <v>287</v>
      </c>
      <c r="C240" s="78"/>
      <c r="D240" s="1">
        <v>2505.0</v>
      </c>
      <c r="E240" s="254" t="s">
        <v>291</v>
      </c>
      <c r="F240" s="252">
        <f t="shared" si="1"/>
        <v>15127</v>
      </c>
    </row>
    <row r="241">
      <c r="A241" s="255"/>
      <c r="B241" s="60" t="s">
        <v>335</v>
      </c>
      <c r="C241" s="78"/>
      <c r="D241" s="1">
        <v>38.0</v>
      </c>
      <c r="E241" s="251"/>
      <c r="F241" s="252">
        <f t="shared" si="1"/>
        <v>15089</v>
      </c>
    </row>
    <row r="242">
      <c r="A242" s="249">
        <v>45847.0</v>
      </c>
      <c r="B242" s="60" t="s">
        <v>287</v>
      </c>
      <c r="C242" s="78"/>
      <c r="D242" s="1">
        <v>3420.0</v>
      </c>
      <c r="E242" s="254" t="s">
        <v>291</v>
      </c>
      <c r="F242" s="252">
        <f t="shared" si="1"/>
        <v>11669</v>
      </c>
    </row>
    <row r="243">
      <c r="A243" s="249">
        <v>45848.0</v>
      </c>
      <c r="B243" s="60" t="s">
        <v>287</v>
      </c>
      <c r="C243" s="78"/>
      <c r="D243" s="1">
        <v>3575.0</v>
      </c>
      <c r="E243" s="254" t="s">
        <v>291</v>
      </c>
      <c r="F243" s="252">
        <f t="shared" si="1"/>
        <v>8094</v>
      </c>
    </row>
    <row r="244">
      <c r="A244" s="255"/>
      <c r="B244" s="60" t="s">
        <v>275</v>
      </c>
      <c r="C244" s="78"/>
      <c r="D244" s="1">
        <v>9.0</v>
      </c>
      <c r="E244" s="251"/>
      <c r="F244" s="252">
        <f t="shared" si="1"/>
        <v>8085</v>
      </c>
    </row>
    <row r="245">
      <c r="A245" s="255"/>
      <c r="B245" s="60" t="s">
        <v>308</v>
      </c>
      <c r="C245" s="78"/>
      <c r="D245" s="1">
        <v>2080.0</v>
      </c>
      <c r="E245" s="254" t="s">
        <v>291</v>
      </c>
      <c r="F245" s="252">
        <f t="shared" si="1"/>
        <v>6005</v>
      </c>
    </row>
    <row r="246">
      <c r="A246" s="255"/>
      <c r="B246" s="60" t="s">
        <v>336</v>
      </c>
      <c r="C246" s="78"/>
      <c r="D246" s="1">
        <v>1545.0</v>
      </c>
      <c r="E246" s="251"/>
      <c r="F246" s="252">
        <f t="shared" si="1"/>
        <v>4460</v>
      </c>
    </row>
    <row r="247">
      <c r="A247" s="249">
        <v>45849.0</v>
      </c>
      <c r="B247" s="60" t="s">
        <v>287</v>
      </c>
      <c r="C247" s="78"/>
      <c r="D247" s="1">
        <v>3000.0</v>
      </c>
      <c r="E247" s="254" t="s">
        <v>291</v>
      </c>
      <c r="F247" s="252">
        <f t="shared" si="1"/>
        <v>1460</v>
      </c>
    </row>
    <row r="248">
      <c r="A248" s="255"/>
      <c r="B248" s="60" t="s">
        <v>265</v>
      </c>
      <c r="C248" s="5">
        <v>30000.0</v>
      </c>
      <c r="D248" s="250"/>
      <c r="E248" s="251"/>
      <c r="F248" s="252">
        <f t="shared" si="1"/>
        <v>31460</v>
      </c>
    </row>
    <row r="249">
      <c r="A249" s="249">
        <v>45852.0</v>
      </c>
      <c r="B249" s="60" t="s">
        <v>287</v>
      </c>
      <c r="C249" s="78"/>
      <c r="D249" s="1">
        <v>2840.0</v>
      </c>
      <c r="E249" s="254">
        <v>9.0729473E7</v>
      </c>
      <c r="F249" s="252">
        <f t="shared" si="1"/>
        <v>28620</v>
      </c>
    </row>
    <row r="250">
      <c r="A250" s="249">
        <v>45853.0</v>
      </c>
      <c r="B250" s="60" t="s">
        <v>287</v>
      </c>
      <c r="C250" s="78"/>
      <c r="D250" s="1">
        <v>3131.0</v>
      </c>
      <c r="E250" s="254">
        <v>9.029031E7</v>
      </c>
      <c r="F250" s="252">
        <f t="shared" si="1"/>
        <v>25489</v>
      </c>
    </row>
    <row r="251">
      <c r="A251" s="255"/>
      <c r="B251" s="60" t="s">
        <v>275</v>
      </c>
      <c r="C251" s="78"/>
      <c r="D251" s="1">
        <v>3.0</v>
      </c>
      <c r="E251" s="254">
        <v>9.029031E7</v>
      </c>
      <c r="F251" s="252">
        <f t="shared" si="1"/>
        <v>25486</v>
      </c>
    </row>
    <row r="252">
      <c r="A252" s="255"/>
      <c r="B252" s="60" t="s">
        <v>337</v>
      </c>
      <c r="C252" s="78"/>
      <c r="D252" s="1">
        <v>202.0</v>
      </c>
      <c r="E252" s="254">
        <v>9.029031E7</v>
      </c>
      <c r="F252" s="252">
        <f t="shared" si="1"/>
        <v>25284</v>
      </c>
    </row>
    <row r="253">
      <c r="A253" s="249">
        <v>45854.0</v>
      </c>
      <c r="B253" s="60" t="s">
        <v>287</v>
      </c>
      <c r="C253" s="78"/>
      <c r="D253" s="1">
        <v>2475.0</v>
      </c>
      <c r="E253" s="254" t="s">
        <v>273</v>
      </c>
      <c r="F253" s="252">
        <f t="shared" si="1"/>
        <v>22809</v>
      </c>
    </row>
    <row r="254">
      <c r="A254" s="249">
        <v>45855.0</v>
      </c>
      <c r="B254" s="60" t="s">
        <v>287</v>
      </c>
      <c r="C254" s="78"/>
      <c r="D254" s="1">
        <v>2760.0</v>
      </c>
      <c r="E254" s="254" t="s">
        <v>291</v>
      </c>
      <c r="F254" s="252">
        <f t="shared" si="1"/>
        <v>20049</v>
      </c>
    </row>
    <row r="255">
      <c r="A255" s="255"/>
      <c r="B255" s="60" t="s">
        <v>338</v>
      </c>
      <c r="C255" s="78"/>
      <c r="D255" s="1">
        <v>400.0</v>
      </c>
      <c r="E255" s="251"/>
      <c r="F255" s="252">
        <f t="shared" si="1"/>
        <v>19649</v>
      </c>
    </row>
    <row r="256">
      <c r="A256" s="249">
        <v>45856.0</v>
      </c>
      <c r="B256" s="60" t="s">
        <v>287</v>
      </c>
      <c r="C256" s="78"/>
      <c r="D256" s="1">
        <v>2330.0</v>
      </c>
      <c r="E256" s="254" t="s">
        <v>291</v>
      </c>
      <c r="F256" s="252">
        <f t="shared" si="1"/>
        <v>17319</v>
      </c>
    </row>
    <row r="257">
      <c r="A257" s="249">
        <v>45859.0</v>
      </c>
      <c r="B257" s="60" t="s">
        <v>287</v>
      </c>
      <c r="C257" s="78"/>
      <c r="D257" s="1">
        <v>2915.0</v>
      </c>
      <c r="E257" s="254">
        <v>9.0729473E7</v>
      </c>
      <c r="F257" s="252">
        <f t="shared" si="1"/>
        <v>14404</v>
      </c>
    </row>
    <row r="258">
      <c r="A258" s="249">
        <v>45860.0</v>
      </c>
      <c r="B258" s="60" t="s">
        <v>287</v>
      </c>
      <c r="C258" s="78"/>
      <c r="D258" s="1">
        <v>3164.0</v>
      </c>
      <c r="E258" s="254" t="s">
        <v>291</v>
      </c>
      <c r="F258" s="252">
        <f t="shared" si="1"/>
        <v>11240</v>
      </c>
    </row>
    <row r="259">
      <c r="A259" s="249">
        <v>45861.0</v>
      </c>
      <c r="B259" s="60" t="s">
        <v>287</v>
      </c>
      <c r="C259" s="78"/>
      <c r="D259" s="1">
        <v>3165.0</v>
      </c>
      <c r="E259" s="254" t="s">
        <v>291</v>
      </c>
      <c r="F259" s="252">
        <f t="shared" si="1"/>
        <v>8075</v>
      </c>
    </row>
    <row r="260">
      <c r="A260" s="255"/>
      <c r="B260" s="60" t="s">
        <v>289</v>
      </c>
      <c r="C260" s="5">
        <v>20000.0</v>
      </c>
      <c r="D260" s="250"/>
      <c r="E260" s="251"/>
      <c r="F260" s="252">
        <f t="shared" si="1"/>
        <v>28075</v>
      </c>
    </row>
    <row r="261">
      <c r="A261" s="255"/>
      <c r="B261" s="60" t="s">
        <v>278</v>
      </c>
      <c r="C261" s="78"/>
      <c r="D261" s="1">
        <v>39.0</v>
      </c>
      <c r="E261" s="251"/>
      <c r="F261" s="252">
        <f t="shared" si="1"/>
        <v>28036</v>
      </c>
    </row>
    <row r="262">
      <c r="A262" s="249">
        <v>45862.0</v>
      </c>
      <c r="B262" s="60" t="s">
        <v>287</v>
      </c>
      <c r="C262" s="5"/>
      <c r="D262" s="1">
        <v>3025.0</v>
      </c>
      <c r="E262" s="254" t="s">
        <v>291</v>
      </c>
      <c r="F262" s="252">
        <f t="shared" si="1"/>
        <v>25011</v>
      </c>
    </row>
    <row r="263">
      <c r="A263" s="249">
        <v>45863.0</v>
      </c>
      <c r="B263" s="60" t="s">
        <v>287</v>
      </c>
      <c r="C263" s="78"/>
      <c r="D263" s="1">
        <v>2855.0</v>
      </c>
      <c r="E263" s="254" t="s">
        <v>291</v>
      </c>
      <c r="F263" s="252">
        <f t="shared" si="1"/>
        <v>22156</v>
      </c>
    </row>
    <row r="264">
      <c r="A264" s="249">
        <v>45866.0</v>
      </c>
      <c r="B264" s="60" t="s">
        <v>287</v>
      </c>
      <c r="C264" s="78"/>
      <c r="D264" s="1">
        <v>2735.0</v>
      </c>
      <c r="E264" s="254" t="s">
        <v>291</v>
      </c>
      <c r="F264" s="252">
        <f t="shared" si="1"/>
        <v>19421</v>
      </c>
    </row>
    <row r="265">
      <c r="A265" s="255"/>
      <c r="B265" s="60" t="s">
        <v>339</v>
      </c>
      <c r="C265" s="78"/>
      <c r="D265" s="1">
        <v>4969.0</v>
      </c>
      <c r="E265" s="254">
        <v>9.029031E7</v>
      </c>
      <c r="F265" s="252">
        <f t="shared" si="1"/>
        <v>14452</v>
      </c>
    </row>
    <row r="266">
      <c r="A266" s="249">
        <v>45867.0</v>
      </c>
      <c r="B266" s="60" t="s">
        <v>287</v>
      </c>
      <c r="C266" s="78"/>
      <c r="D266" s="1">
        <v>3065.0</v>
      </c>
      <c r="E266" s="254" t="s">
        <v>291</v>
      </c>
      <c r="F266" s="252">
        <f t="shared" si="1"/>
        <v>11387</v>
      </c>
    </row>
    <row r="267">
      <c r="A267" s="249">
        <v>45868.0</v>
      </c>
      <c r="B267" s="60" t="s">
        <v>287</v>
      </c>
      <c r="C267" s="78"/>
      <c r="D267" s="1">
        <v>2802.0</v>
      </c>
      <c r="E267" s="254" t="s">
        <v>291</v>
      </c>
      <c r="F267" s="252">
        <f t="shared" si="1"/>
        <v>8585</v>
      </c>
    </row>
    <row r="268">
      <c r="A268" s="249">
        <v>45869.0</v>
      </c>
      <c r="B268" s="60" t="s">
        <v>287</v>
      </c>
      <c r="C268" s="78"/>
      <c r="D268" s="1">
        <v>2295.0</v>
      </c>
      <c r="E268" s="254" t="s">
        <v>291</v>
      </c>
      <c r="F268" s="252">
        <f t="shared" si="1"/>
        <v>6290</v>
      </c>
    </row>
    <row r="269">
      <c r="A269" s="249">
        <v>45870.0</v>
      </c>
      <c r="B269" s="60" t="s">
        <v>287</v>
      </c>
      <c r="C269" s="78"/>
      <c r="D269" s="1">
        <v>2765.0</v>
      </c>
      <c r="E269" s="254" t="s">
        <v>291</v>
      </c>
      <c r="F269" s="252">
        <f t="shared" si="1"/>
        <v>3525</v>
      </c>
    </row>
    <row r="270">
      <c r="A270" s="255"/>
      <c r="B270" s="60" t="s">
        <v>275</v>
      </c>
      <c r="C270" s="78"/>
      <c r="D270" s="1">
        <v>3.0</v>
      </c>
      <c r="E270" s="254">
        <v>9.029031E7</v>
      </c>
      <c r="F270" s="252">
        <f t="shared" si="1"/>
        <v>3522</v>
      </c>
    </row>
    <row r="271">
      <c r="A271" s="249">
        <v>45873.0</v>
      </c>
      <c r="B271" s="60" t="s">
        <v>289</v>
      </c>
      <c r="C271" s="5">
        <v>20000.0</v>
      </c>
      <c r="D271" s="250"/>
      <c r="E271" s="251"/>
      <c r="F271" s="252">
        <f t="shared" si="1"/>
        <v>23522</v>
      </c>
    </row>
    <row r="272">
      <c r="A272" s="255"/>
      <c r="B272" s="60" t="s">
        <v>287</v>
      </c>
      <c r="C272" s="78"/>
      <c r="D272" s="1">
        <v>2760.0</v>
      </c>
      <c r="E272" s="254">
        <v>9.7535819E7</v>
      </c>
      <c r="F272" s="252">
        <f t="shared" si="1"/>
        <v>20762</v>
      </c>
    </row>
    <row r="273">
      <c r="A273" s="249">
        <v>45874.0</v>
      </c>
      <c r="B273" s="60" t="s">
        <v>287</v>
      </c>
      <c r="C273" s="78"/>
      <c r="D273" s="1">
        <v>2849.0</v>
      </c>
      <c r="E273" s="254" t="s">
        <v>291</v>
      </c>
      <c r="F273" s="252">
        <f t="shared" si="1"/>
        <v>17913</v>
      </c>
    </row>
    <row r="274">
      <c r="A274" s="255"/>
      <c r="B274" s="60" t="s">
        <v>340</v>
      </c>
      <c r="C274" s="78"/>
      <c r="D274" s="1">
        <v>168.0</v>
      </c>
      <c r="E274" s="254">
        <v>9.029031E7</v>
      </c>
      <c r="F274" s="252">
        <f t="shared" si="1"/>
        <v>17745</v>
      </c>
    </row>
    <row r="275">
      <c r="A275" s="249">
        <v>45875.0</v>
      </c>
      <c r="B275" s="60" t="s">
        <v>287</v>
      </c>
      <c r="C275" s="78"/>
      <c r="D275" s="1">
        <v>3380.0</v>
      </c>
      <c r="E275" s="254" t="s">
        <v>291</v>
      </c>
      <c r="F275" s="252">
        <f t="shared" si="1"/>
        <v>14365</v>
      </c>
    </row>
    <row r="276">
      <c r="A276" s="249">
        <v>45876.0</v>
      </c>
      <c r="B276" s="60" t="s">
        <v>289</v>
      </c>
      <c r="C276" s="5">
        <v>10000.0</v>
      </c>
      <c r="D276" s="250"/>
      <c r="E276" s="251"/>
      <c r="F276" s="252">
        <f t="shared" si="1"/>
        <v>24365</v>
      </c>
    </row>
    <row r="277">
      <c r="A277" s="255"/>
      <c r="B277" s="60" t="s">
        <v>287</v>
      </c>
      <c r="C277" s="78"/>
      <c r="D277" s="1">
        <v>3720.0</v>
      </c>
      <c r="E277" s="254" t="s">
        <v>291</v>
      </c>
      <c r="F277" s="252">
        <f t="shared" si="1"/>
        <v>20645</v>
      </c>
    </row>
    <row r="278">
      <c r="A278" s="249">
        <v>45877.0</v>
      </c>
      <c r="B278" s="60" t="s">
        <v>287</v>
      </c>
      <c r="C278" s="78"/>
      <c r="D278" s="1">
        <v>3810.0</v>
      </c>
      <c r="E278" s="254" t="s">
        <v>291</v>
      </c>
      <c r="F278" s="252">
        <f t="shared" si="1"/>
        <v>16835</v>
      </c>
    </row>
    <row r="279">
      <c r="A279" s="255"/>
      <c r="B279" s="60" t="s">
        <v>275</v>
      </c>
      <c r="C279" s="78"/>
      <c r="D279" s="1">
        <v>6.0</v>
      </c>
      <c r="E279" s="254">
        <v>9.029031E7</v>
      </c>
      <c r="F279" s="252">
        <f t="shared" si="1"/>
        <v>16829</v>
      </c>
    </row>
    <row r="280">
      <c r="A280" s="255"/>
      <c r="B280" s="60" t="s">
        <v>341</v>
      </c>
      <c r="C280" s="78"/>
      <c r="D280" s="1">
        <v>1725.0</v>
      </c>
      <c r="E280" s="254" t="s">
        <v>291</v>
      </c>
      <c r="F280" s="252">
        <f t="shared" si="1"/>
        <v>15104</v>
      </c>
    </row>
    <row r="281">
      <c r="A281" s="255"/>
      <c r="B281" s="60" t="s">
        <v>342</v>
      </c>
      <c r="C281" s="78"/>
      <c r="D281" s="1">
        <f>2115+95</f>
        <v>2210</v>
      </c>
      <c r="E281" s="254">
        <v>9.7535819E7</v>
      </c>
      <c r="F281" s="252">
        <f t="shared" si="1"/>
        <v>12894</v>
      </c>
    </row>
    <row r="282">
      <c r="A282" s="249">
        <v>45880.0</v>
      </c>
      <c r="B282" s="60" t="s">
        <v>287</v>
      </c>
      <c r="C282" s="78"/>
      <c r="D282" s="1">
        <v>3570.0</v>
      </c>
      <c r="E282" s="254" t="s">
        <v>291</v>
      </c>
      <c r="F282" s="252">
        <f t="shared" si="1"/>
        <v>9324</v>
      </c>
    </row>
    <row r="283">
      <c r="A283" s="249">
        <v>45881.0</v>
      </c>
      <c r="B283" s="60" t="s">
        <v>287</v>
      </c>
      <c r="C283" s="78"/>
      <c r="D283" s="1">
        <v>2955.0</v>
      </c>
      <c r="E283" s="254" t="s">
        <v>291</v>
      </c>
      <c r="F283" s="252">
        <f t="shared" si="1"/>
        <v>6369</v>
      </c>
    </row>
    <row r="284">
      <c r="A284" s="249">
        <v>45882.0</v>
      </c>
      <c r="B284" s="60" t="s">
        <v>287</v>
      </c>
      <c r="C284" s="78"/>
      <c r="D284" s="1">
        <v>3020.0</v>
      </c>
      <c r="E284" s="254" t="s">
        <v>291</v>
      </c>
      <c r="F284" s="252">
        <f t="shared" si="1"/>
        <v>3349</v>
      </c>
    </row>
    <row r="285">
      <c r="A285" s="255"/>
      <c r="B285" s="60" t="s">
        <v>289</v>
      </c>
      <c r="C285" s="5">
        <v>30000.0</v>
      </c>
      <c r="D285" s="250"/>
      <c r="E285" s="251"/>
      <c r="F285" s="252">
        <f t="shared" si="1"/>
        <v>33349</v>
      </c>
    </row>
    <row r="286">
      <c r="A286" s="249">
        <v>45883.0</v>
      </c>
      <c r="B286" s="60" t="s">
        <v>287</v>
      </c>
      <c r="D286" s="1">
        <v>3170.0</v>
      </c>
      <c r="E286" s="254" t="s">
        <v>291</v>
      </c>
      <c r="F286" s="252">
        <f t="shared" si="1"/>
        <v>30179</v>
      </c>
    </row>
    <row r="287">
      <c r="A287" s="255"/>
      <c r="B287" s="60" t="s">
        <v>275</v>
      </c>
      <c r="C287" s="78"/>
      <c r="D287" s="1">
        <v>12.0</v>
      </c>
      <c r="E287" s="254">
        <v>9.029031E7</v>
      </c>
      <c r="F287" s="252">
        <f t="shared" si="1"/>
        <v>30167</v>
      </c>
    </row>
    <row r="288">
      <c r="A288" s="249">
        <v>45884.0</v>
      </c>
      <c r="B288" s="60" t="s">
        <v>287</v>
      </c>
      <c r="C288" s="78"/>
      <c r="D288" s="1">
        <v>2810.0</v>
      </c>
      <c r="E288" s="254" t="s">
        <v>291</v>
      </c>
      <c r="F288" s="252">
        <f t="shared" si="1"/>
        <v>27357</v>
      </c>
    </row>
    <row r="289">
      <c r="A289" s="249">
        <v>45887.0</v>
      </c>
      <c r="B289" s="60" t="s">
        <v>287</v>
      </c>
      <c r="C289" s="78"/>
      <c r="D289" s="1">
        <v>3325.0</v>
      </c>
      <c r="E289" s="254" t="s">
        <v>291</v>
      </c>
      <c r="F289" s="252">
        <f t="shared" si="1"/>
        <v>24032</v>
      </c>
    </row>
    <row r="290">
      <c r="A290" s="249">
        <v>45888.0</v>
      </c>
      <c r="B290" s="60" t="s">
        <v>287</v>
      </c>
      <c r="C290" s="78"/>
      <c r="D290" s="1">
        <v>3305.0</v>
      </c>
      <c r="E290" s="254" t="s">
        <v>291</v>
      </c>
      <c r="F290" s="252">
        <f t="shared" si="1"/>
        <v>20727</v>
      </c>
    </row>
    <row r="291">
      <c r="A291" s="255"/>
      <c r="B291" s="60" t="s">
        <v>343</v>
      </c>
      <c r="C291" s="78"/>
      <c r="D291" s="1">
        <v>3000.0</v>
      </c>
      <c r="E291" s="254" t="s">
        <v>291</v>
      </c>
      <c r="F291" s="252">
        <f t="shared" si="1"/>
        <v>17727</v>
      </c>
    </row>
    <row r="292">
      <c r="A292" s="249">
        <v>45889.0</v>
      </c>
      <c r="B292" s="60" t="s">
        <v>287</v>
      </c>
      <c r="C292" s="78"/>
      <c r="D292" s="1">
        <v>2650.0</v>
      </c>
      <c r="E292" s="254" t="s">
        <v>291</v>
      </c>
      <c r="F292" s="252">
        <f t="shared" si="1"/>
        <v>15077</v>
      </c>
    </row>
    <row r="293">
      <c r="A293" s="249">
        <v>45890.0</v>
      </c>
      <c r="B293" s="60" t="s">
        <v>287</v>
      </c>
      <c r="C293" s="78"/>
      <c r="D293" s="1">
        <v>3510.0</v>
      </c>
      <c r="E293" s="254" t="s">
        <v>291</v>
      </c>
      <c r="F293" s="252">
        <f t="shared" si="1"/>
        <v>11567</v>
      </c>
    </row>
    <row r="294">
      <c r="A294" s="249">
        <v>45891.0</v>
      </c>
      <c r="B294" s="60" t="s">
        <v>287</v>
      </c>
      <c r="C294" s="78"/>
      <c r="D294" s="1">
        <v>2925.0</v>
      </c>
      <c r="E294" s="254" t="s">
        <v>291</v>
      </c>
      <c r="F294" s="252">
        <f t="shared" si="1"/>
        <v>8642</v>
      </c>
    </row>
    <row r="295">
      <c r="A295" s="249">
        <v>45894.0</v>
      </c>
      <c r="B295" s="60" t="s">
        <v>287</v>
      </c>
      <c r="C295" s="78"/>
      <c r="D295" s="1">
        <v>2426.0</v>
      </c>
      <c r="E295" s="254" t="s">
        <v>291</v>
      </c>
      <c r="F295" s="252">
        <f t="shared" si="1"/>
        <v>6216</v>
      </c>
    </row>
    <row r="296">
      <c r="A296" s="249">
        <v>45895.0</v>
      </c>
      <c r="B296" s="60" t="s">
        <v>287</v>
      </c>
      <c r="C296" s="78"/>
      <c r="D296" s="1">
        <v>2434.0</v>
      </c>
      <c r="E296" s="254">
        <v>9.0729473E7</v>
      </c>
      <c r="F296" s="252">
        <f t="shared" si="1"/>
        <v>3782</v>
      </c>
    </row>
    <row r="297">
      <c r="A297" s="249">
        <v>45896.0</v>
      </c>
      <c r="B297" s="60" t="s">
        <v>289</v>
      </c>
      <c r="C297" s="5">
        <v>30000.0</v>
      </c>
      <c r="D297" s="250"/>
      <c r="E297" s="251"/>
      <c r="F297" s="252">
        <f t="shared" si="1"/>
        <v>33782</v>
      </c>
    </row>
    <row r="298">
      <c r="A298" s="255"/>
      <c r="B298" s="60" t="s">
        <v>275</v>
      </c>
      <c r="C298" s="78"/>
      <c r="D298" s="1">
        <v>57.0</v>
      </c>
      <c r="E298" s="254">
        <v>9.029031E7</v>
      </c>
      <c r="F298" s="252">
        <f t="shared" si="1"/>
        <v>33725</v>
      </c>
    </row>
    <row r="299">
      <c r="A299" s="255"/>
      <c r="B299" s="60" t="s">
        <v>287</v>
      </c>
      <c r="C299" s="78"/>
      <c r="D299" s="1">
        <v>2694.0</v>
      </c>
      <c r="E299" s="254" t="s">
        <v>291</v>
      </c>
      <c r="F299" s="252">
        <f t="shared" si="1"/>
        <v>31031</v>
      </c>
    </row>
    <row r="300">
      <c r="A300" s="255"/>
      <c r="B300" s="60" t="s">
        <v>344</v>
      </c>
      <c r="C300" s="5">
        <v>100.0</v>
      </c>
      <c r="D300" s="250"/>
      <c r="E300" s="251"/>
      <c r="F300" s="252">
        <f t="shared" si="1"/>
        <v>31131</v>
      </c>
    </row>
    <row r="301">
      <c r="A301" s="255"/>
      <c r="B301" s="60" t="s">
        <v>294</v>
      </c>
      <c r="C301" s="78"/>
      <c r="D301" s="1">
        <v>9965.0</v>
      </c>
      <c r="E301" s="254">
        <v>9.0729473E7</v>
      </c>
      <c r="F301" s="252">
        <f t="shared" si="1"/>
        <v>21166</v>
      </c>
    </row>
    <row r="302">
      <c r="A302" s="249">
        <v>45897.0</v>
      </c>
      <c r="B302" s="60" t="s">
        <v>287</v>
      </c>
      <c r="C302" s="78"/>
      <c r="D302" s="1">
        <v>3300.0</v>
      </c>
      <c r="E302" s="254" t="s">
        <v>291</v>
      </c>
      <c r="F302" s="252">
        <f t="shared" si="1"/>
        <v>17866</v>
      </c>
    </row>
    <row r="303">
      <c r="A303" s="255"/>
      <c r="B303" s="60" t="s">
        <v>345</v>
      </c>
      <c r="C303" s="78"/>
      <c r="D303" s="1">
        <v>400.0</v>
      </c>
      <c r="E303" s="251"/>
      <c r="F303" s="252">
        <f t="shared" si="1"/>
        <v>17466</v>
      </c>
    </row>
    <row r="304">
      <c r="A304" s="255"/>
      <c r="B304" s="60" t="s">
        <v>275</v>
      </c>
      <c r="C304" s="78"/>
      <c r="D304" s="1">
        <v>24.0</v>
      </c>
      <c r="E304" s="254">
        <v>9.029031E7</v>
      </c>
      <c r="F304" s="252">
        <f t="shared" si="1"/>
        <v>17442</v>
      </c>
    </row>
    <row r="305">
      <c r="A305" s="249">
        <v>45898.0</v>
      </c>
      <c r="B305" s="60" t="s">
        <v>287</v>
      </c>
      <c r="C305" s="78"/>
      <c r="D305" s="1">
        <v>2845.0</v>
      </c>
      <c r="E305" s="254">
        <v>9.0729473E7</v>
      </c>
      <c r="F305" s="252">
        <f t="shared" si="1"/>
        <v>14597</v>
      </c>
    </row>
    <row r="306">
      <c r="A306" s="255"/>
      <c r="B306" s="60" t="s">
        <v>288</v>
      </c>
      <c r="C306" s="78"/>
      <c r="D306" s="1">
        <v>32.0</v>
      </c>
      <c r="E306" s="251"/>
      <c r="F306" s="252">
        <f t="shared" si="1"/>
        <v>14565</v>
      </c>
    </row>
    <row r="307">
      <c r="A307" s="249">
        <v>45901.0</v>
      </c>
      <c r="B307" s="60" t="s">
        <v>287</v>
      </c>
      <c r="C307" s="78"/>
      <c r="D307" s="1">
        <v>3630.0</v>
      </c>
      <c r="E307" s="254" t="s">
        <v>291</v>
      </c>
      <c r="F307" s="252">
        <f t="shared" si="1"/>
        <v>10935</v>
      </c>
    </row>
    <row r="308">
      <c r="A308" s="255"/>
      <c r="B308" s="60" t="s">
        <v>346</v>
      </c>
      <c r="C308" s="78"/>
      <c r="D308" s="1">
        <v>3063.0</v>
      </c>
      <c r="E308" s="254">
        <v>9.0729473E7</v>
      </c>
      <c r="F308" s="252">
        <f t="shared" si="1"/>
        <v>7872</v>
      </c>
    </row>
    <row r="309">
      <c r="A309" s="255"/>
      <c r="B309" s="60" t="s">
        <v>347</v>
      </c>
      <c r="C309" s="78"/>
      <c r="D309" s="1">
        <v>200.0</v>
      </c>
      <c r="E309" s="254" t="s">
        <v>273</v>
      </c>
      <c r="F309" s="252">
        <f t="shared" si="1"/>
        <v>7672</v>
      </c>
    </row>
    <row r="310">
      <c r="A310" s="249">
        <v>45902.0</v>
      </c>
      <c r="B310" s="60" t="s">
        <v>348</v>
      </c>
      <c r="C310" s="5">
        <v>35000.0</v>
      </c>
      <c r="D310" s="250"/>
      <c r="E310" s="251"/>
      <c r="F310" s="252">
        <f t="shared" si="1"/>
        <v>42672</v>
      </c>
      <c r="G310" s="122" t="s">
        <v>349</v>
      </c>
    </row>
    <row r="311">
      <c r="A311" s="255"/>
      <c r="B311" s="60" t="s">
        <v>350</v>
      </c>
      <c r="C311" s="78"/>
      <c r="D311" s="1">
        <v>90.0</v>
      </c>
      <c r="E311" s="254">
        <v>9.029031E7</v>
      </c>
      <c r="F311" s="252">
        <f t="shared" si="1"/>
        <v>42582</v>
      </c>
      <c r="H311" s="122" t="s">
        <v>0</v>
      </c>
    </row>
    <row r="312">
      <c r="A312" s="255"/>
      <c r="B312" s="60" t="s">
        <v>287</v>
      </c>
      <c r="C312" s="78"/>
      <c r="D312" s="1">
        <v>3716.0</v>
      </c>
      <c r="E312" s="254">
        <v>9.0729473E7</v>
      </c>
      <c r="F312" s="252">
        <f t="shared" si="1"/>
        <v>38866</v>
      </c>
    </row>
    <row r="313">
      <c r="A313" s="249">
        <v>45903.0</v>
      </c>
      <c r="B313" s="60" t="s">
        <v>287</v>
      </c>
      <c r="C313" s="78"/>
      <c r="D313" s="1">
        <v>3614.0</v>
      </c>
      <c r="E313" s="254">
        <v>9.0729473E7</v>
      </c>
      <c r="F313" s="252">
        <f t="shared" si="1"/>
        <v>35252</v>
      </c>
    </row>
    <row r="314">
      <c r="A314" s="249">
        <v>45904.0</v>
      </c>
      <c r="B314" s="60" t="s">
        <v>287</v>
      </c>
      <c r="C314" s="78"/>
      <c r="D314" s="1">
        <v>3510.0</v>
      </c>
      <c r="E314" s="254" t="s">
        <v>291</v>
      </c>
      <c r="F314" s="252">
        <f t="shared" si="1"/>
        <v>31742</v>
      </c>
    </row>
    <row r="315">
      <c r="A315" s="249">
        <v>45905.0</v>
      </c>
      <c r="B315" s="60" t="s">
        <v>287</v>
      </c>
      <c r="C315" s="78"/>
      <c r="D315" s="1">
        <v>2955.0</v>
      </c>
      <c r="E315" s="254" t="s">
        <v>291</v>
      </c>
      <c r="F315" s="252">
        <f t="shared" si="1"/>
        <v>28787</v>
      </c>
    </row>
    <row r="316">
      <c r="A316" s="249">
        <v>45908.0</v>
      </c>
      <c r="B316" s="60" t="s">
        <v>287</v>
      </c>
      <c r="C316" s="78"/>
      <c r="D316" s="1">
        <v>3890.0</v>
      </c>
      <c r="E316" s="254" t="s">
        <v>291</v>
      </c>
      <c r="F316" s="252">
        <f t="shared" si="1"/>
        <v>24897</v>
      </c>
    </row>
    <row r="317">
      <c r="A317" s="255"/>
      <c r="B317" s="60" t="s">
        <v>275</v>
      </c>
      <c r="C317" s="78"/>
      <c r="D317" s="1">
        <v>9.0</v>
      </c>
      <c r="E317" s="254">
        <v>9.029031E7</v>
      </c>
      <c r="F317" s="252">
        <f t="shared" si="1"/>
        <v>24888</v>
      </c>
    </row>
    <row r="318">
      <c r="A318" s="255"/>
      <c r="B318" s="60" t="s">
        <v>351</v>
      </c>
      <c r="C318" s="78"/>
      <c r="D318" s="1">
        <v>6.0</v>
      </c>
      <c r="E318" s="254">
        <v>9.029031E7</v>
      </c>
      <c r="F318" s="252">
        <f t="shared" si="1"/>
        <v>24882</v>
      </c>
    </row>
    <row r="319">
      <c r="A319" s="249">
        <v>45909.0</v>
      </c>
      <c r="B319" s="60" t="s">
        <v>287</v>
      </c>
      <c r="C319" s="78"/>
      <c r="D319" s="1">
        <v>3620.0</v>
      </c>
      <c r="E319" s="254" t="s">
        <v>291</v>
      </c>
      <c r="F319" s="252">
        <f t="shared" si="1"/>
        <v>21262</v>
      </c>
    </row>
    <row r="320">
      <c r="A320" s="249">
        <v>45910.0</v>
      </c>
      <c r="B320" s="60" t="s">
        <v>351</v>
      </c>
      <c r="C320" s="78"/>
      <c r="D320" s="1">
        <v>2200.0</v>
      </c>
      <c r="E320" s="251"/>
      <c r="F320" s="252">
        <f t="shared" si="1"/>
        <v>19062</v>
      </c>
    </row>
    <row r="321">
      <c r="A321" s="255"/>
      <c r="B321" s="60" t="s">
        <v>287</v>
      </c>
      <c r="C321" s="78"/>
      <c r="D321" s="1">
        <v>3418.0</v>
      </c>
      <c r="E321" s="254">
        <v>9.7535819E7</v>
      </c>
      <c r="F321" s="252">
        <f t="shared" si="1"/>
        <v>15644</v>
      </c>
    </row>
    <row r="322">
      <c r="A322" s="255"/>
      <c r="B322" s="60" t="s">
        <v>307</v>
      </c>
      <c r="C322" s="78"/>
      <c r="D322" s="1">
        <v>1007.0</v>
      </c>
      <c r="E322" s="254" t="s">
        <v>291</v>
      </c>
      <c r="F322" s="252">
        <f t="shared" si="1"/>
        <v>14637</v>
      </c>
    </row>
    <row r="323">
      <c r="A323" s="255"/>
      <c r="B323" s="60" t="s">
        <v>352</v>
      </c>
      <c r="C323" s="78"/>
      <c r="D323" s="1">
        <v>2891.0</v>
      </c>
      <c r="E323" s="254" t="s">
        <v>291</v>
      </c>
      <c r="F323" s="252">
        <f t="shared" si="1"/>
        <v>11746</v>
      </c>
    </row>
    <row r="324">
      <c r="A324" s="249">
        <v>45911.0</v>
      </c>
      <c r="B324" s="60" t="s">
        <v>289</v>
      </c>
      <c r="C324" s="5">
        <v>30000.0</v>
      </c>
      <c r="D324" s="250"/>
      <c r="E324" s="251"/>
      <c r="F324" s="252">
        <f t="shared" si="1"/>
        <v>41746</v>
      </c>
    </row>
    <row r="325">
      <c r="A325" s="255"/>
      <c r="B325" s="60" t="s">
        <v>287</v>
      </c>
      <c r="C325" s="78"/>
      <c r="D325" s="1">
        <v>2720.0</v>
      </c>
      <c r="E325" s="254" t="s">
        <v>291</v>
      </c>
      <c r="F325" s="252">
        <f t="shared" si="1"/>
        <v>39026</v>
      </c>
    </row>
    <row r="326">
      <c r="A326" s="255"/>
      <c r="B326" s="60" t="s">
        <v>344</v>
      </c>
      <c r="C326" s="5">
        <v>200.0</v>
      </c>
      <c r="D326" s="250"/>
      <c r="E326" s="251"/>
      <c r="F326" s="252">
        <f t="shared" si="1"/>
        <v>39226</v>
      </c>
    </row>
    <row r="327">
      <c r="A327" s="249">
        <v>45912.0</v>
      </c>
      <c r="B327" s="60" t="s">
        <v>287</v>
      </c>
      <c r="C327" s="78"/>
      <c r="D327" s="1">
        <v>3400.0</v>
      </c>
      <c r="E327" s="254" t="s">
        <v>325</v>
      </c>
      <c r="F327" s="252">
        <f t="shared" si="1"/>
        <v>35826</v>
      </c>
    </row>
    <row r="328">
      <c r="A328" s="255"/>
      <c r="B328" s="60" t="s">
        <v>275</v>
      </c>
      <c r="C328" s="78"/>
      <c r="D328" s="1">
        <v>13.0</v>
      </c>
      <c r="E328" s="254">
        <v>9.029031E7</v>
      </c>
      <c r="F328" s="252">
        <f t="shared" si="1"/>
        <v>35813</v>
      </c>
    </row>
    <row r="329">
      <c r="A329" s="249">
        <v>45915.0</v>
      </c>
      <c r="B329" s="60" t="s">
        <v>287</v>
      </c>
      <c r="C329" s="78"/>
      <c r="D329" s="1">
        <v>3415.0</v>
      </c>
      <c r="E329" s="254" t="s">
        <v>291</v>
      </c>
      <c r="F329" s="252">
        <f t="shared" si="1"/>
        <v>32398</v>
      </c>
    </row>
    <row r="330">
      <c r="A330" s="255"/>
      <c r="B330" s="60" t="s">
        <v>275</v>
      </c>
      <c r="C330" s="78"/>
      <c r="D330" s="1">
        <v>3.0</v>
      </c>
      <c r="E330" s="254">
        <v>9.0729473E7</v>
      </c>
      <c r="F330" s="252">
        <f t="shared" si="1"/>
        <v>32395</v>
      </c>
    </row>
    <row r="331">
      <c r="A331" s="249">
        <v>45916.0</v>
      </c>
      <c r="B331" s="60" t="s">
        <v>287</v>
      </c>
      <c r="C331" s="78"/>
      <c r="D331" s="1">
        <v>3552.0</v>
      </c>
      <c r="E331" s="254" t="s">
        <v>291</v>
      </c>
      <c r="F331" s="252">
        <f t="shared" si="1"/>
        <v>28843</v>
      </c>
    </row>
    <row r="332">
      <c r="A332" s="249">
        <v>45917.0</v>
      </c>
      <c r="B332" s="60" t="s">
        <v>287</v>
      </c>
      <c r="C332" s="78"/>
      <c r="D332" s="1">
        <v>3590.0</v>
      </c>
      <c r="E332" s="254">
        <v>9.0729473E7</v>
      </c>
      <c r="F332" s="252">
        <f t="shared" si="1"/>
        <v>25253</v>
      </c>
    </row>
    <row r="333">
      <c r="A333" s="249"/>
      <c r="B333" s="60" t="s">
        <v>275</v>
      </c>
      <c r="C333" s="78"/>
      <c r="D333" s="1">
        <v>12.0</v>
      </c>
      <c r="E333" s="254">
        <v>9.0729473E7</v>
      </c>
      <c r="F333" s="252">
        <f t="shared" si="1"/>
        <v>25241</v>
      </c>
    </row>
    <row r="334">
      <c r="A334" s="249">
        <v>45918.0</v>
      </c>
      <c r="B334" s="60" t="s">
        <v>287</v>
      </c>
      <c r="C334" s="78"/>
      <c r="D334" s="1">
        <v>3540.0</v>
      </c>
      <c r="E334" s="254">
        <v>9.0729473E7</v>
      </c>
      <c r="F334" s="252">
        <f t="shared" si="1"/>
        <v>21701</v>
      </c>
    </row>
    <row r="335">
      <c r="A335" s="249">
        <v>45919.0</v>
      </c>
      <c r="B335" s="60" t="s">
        <v>287</v>
      </c>
      <c r="C335" s="78"/>
      <c r="D335" s="1">
        <v>2710.0</v>
      </c>
      <c r="E335" s="254" t="s">
        <v>291</v>
      </c>
      <c r="F335" s="252">
        <f t="shared" si="1"/>
        <v>18991</v>
      </c>
    </row>
    <row r="336">
      <c r="A336" s="249">
        <v>45922.0</v>
      </c>
      <c r="B336" s="60" t="s">
        <v>287</v>
      </c>
      <c r="C336" s="78"/>
      <c r="D336" s="1">
        <v>3195.0</v>
      </c>
      <c r="E336" s="254" t="s">
        <v>291</v>
      </c>
      <c r="F336" s="252">
        <f t="shared" si="1"/>
        <v>15796</v>
      </c>
    </row>
    <row r="337">
      <c r="A337" s="249">
        <v>45922.0</v>
      </c>
      <c r="B337" s="60" t="s">
        <v>275</v>
      </c>
      <c r="C337" s="78"/>
      <c r="D337" s="1">
        <v>18.0</v>
      </c>
      <c r="E337" s="254">
        <v>9.0729473E7</v>
      </c>
      <c r="F337" s="252">
        <f t="shared" si="1"/>
        <v>15778</v>
      </c>
    </row>
    <row r="338">
      <c r="A338" s="249">
        <v>45923.0</v>
      </c>
      <c r="B338" s="60" t="s">
        <v>287</v>
      </c>
      <c r="C338" s="78"/>
      <c r="D338" s="1">
        <v>3520.0</v>
      </c>
      <c r="E338" s="254" t="s">
        <v>291</v>
      </c>
      <c r="F338" s="252">
        <f t="shared" si="1"/>
        <v>12258</v>
      </c>
    </row>
    <row r="339">
      <c r="A339" s="255"/>
      <c r="B339" s="60" t="s">
        <v>289</v>
      </c>
      <c r="C339" s="5">
        <v>10000.0</v>
      </c>
      <c r="D339" s="250"/>
      <c r="E339" s="251"/>
      <c r="F339" s="252">
        <f t="shared" si="1"/>
        <v>22258</v>
      </c>
    </row>
    <row r="340">
      <c r="A340" s="255"/>
      <c r="B340" s="60" t="s">
        <v>353</v>
      </c>
      <c r="C340" s="5">
        <v>51.0</v>
      </c>
      <c r="D340" s="250"/>
      <c r="E340" s="251"/>
      <c r="F340" s="252">
        <f t="shared" si="1"/>
        <v>22309</v>
      </c>
    </row>
    <row r="341">
      <c r="A341" s="249">
        <v>45924.0</v>
      </c>
      <c r="B341" s="60" t="s">
        <v>287</v>
      </c>
      <c r="C341" s="78"/>
      <c r="D341" s="1">
        <v>3010.0</v>
      </c>
      <c r="E341" s="254" t="s">
        <v>291</v>
      </c>
      <c r="F341" s="252">
        <f t="shared" si="1"/>
        <v>19299</v>
      </c>
    </row>
    <row r="342">
      <c r="A342" s="255"/>
      <c r="B342" s="60" t="s">
        <v>275</v>
      </c>
      <c r="C342" s="78"/>
      <c r="D342" s="1">
        <v>6.0</v>
      </c>
      <c r="E342" s="254">
        <v>9.0729473E7</v>
      </c>
      <c r="F342" s="252">
        <f t="shared" si="1"/>
        <v>19293</v>
      </c>
    </row>
    <row r="343">
      <c r="A343" s="249">
        <v>45925.0</v>
      </c>
      <c r="B343" s="60" t="s">
        <v>287</v>
      </c>
      <c r="C343" s="78"/>
      <c r="D343" s="1">
        <v>2285.0</v>
      </c>
      <c r="E343" s="254" t="s">
        <v>291</v>
      </c>
      <c r="F343" s="252">
        <f t="shared" si="1"/>
        <v>17008</v>
      </c>
    </row>
    <row r="344">
      <c r="A344" s="249">
        <v>45926.0</v>
      </c>
      <c r="B344" s="60" t="s">
        <v>287</v>
      </c>
      <c r="C344" s="78"/>
      <c r="D344" s="1">
        <v>1759.0</v>
      </c>
      <c r="E344" s="254">
        <v>9.7535819E7</v>
      </c>
      <c r="F344" s="252">
        <f t="shared" si="1"/>
        <v>15249</v>
      </c>
    </row>
    <row r="345">
      <c r="A345" s="249">
        <v>45930.0</v>
      </c>
      <c r="B345" s="60" t="s">
        <v>287</v>
      </c>
      <c r="C345" s="78"/>
      <c r="D345" s="1">
        <v>1804.0</v>
      </c>
      <c r="E345" s="254">
        <v>9.7535819E7</v>
      </c>
      <c r="F345" s="252">
        <f t="shared" si="1"/>
        <v>13445</v>
      </c>
    </row>
    <row r="346">
      <c r="A346" s="249">
        <v>45931.0</v>
      </c>
      <c r="B346" s="60" t="s">
        <v>287</v>
      </c>
      <c r="C346" s="78"/>
      <c r="D346" s="1">
        <v>1878.0</v>
      </c>
      <c r="E346" s="254">
        <v>9.7535819E7</v>
      </c>
      <c r="F346" s="252">
        <f t="shared" si="1"/>
        <v>11567</v>
      </c>
    </row>
    <row r="347">
      <c r="A347" s="249">
        <v>45932.0</v>
      </c>
      <c r="B347" s="60" t="s">
        <v>287</v>
      </c>
      <c r="C347" s="78"/>
      <c r="D347" s="1">
        <v>2630.0</v>
      </c>
      <c r="E347" s="254">
        <v>9.7535819E7</v>
      </c>
      <c r="F347" s="252">
        <f t="shared" si="1"/>
        <v>8937</v>
      </c>
    </row>
    <row r="348">
      <c r="A348" s="255"/>
      <c r="B348" s="60" t="s">
        <v>354</v>
      </c>
      <c r="C348" s="78"/>
      <c r="D348" s="1">
        <v>1890.0</v>
      </c>
      <c r="E348" s="254">
        <v>9.7535819E7</v>
      </c>
      <c r="F348" s="252">
        <f t="shared" si="1"/>
        <v>7047</v>
      </c>
    </row>
    <row r="349">
      <c r="A349" s="255"/>
      <c r="B349" s="60" t="s">
        <v>275</v>
      </c>
      <c r="C349" s="78"/>
      <c r="D349" s="1">
        <v>30.0</v>
      </c>
      <c r="E349" s="254">
        <v>9.0729473E7</v>
      </c>
      <c r="F349" s="252">
        <f t="shared" si="1"/>
        <v>7017</v>
      </c>
    </row>
    <row r="350">
      <c r="A350" s="255"/>
      <c r="B350" s="60" t="s">
        <v>289</v>
      </c>
      <c r="C350" s="5">
        <v>20000.0</v>
      </c>
      <c r="D350" s="250"/>
      <c r="E350" s="251"/>
      <c r="F350" s="252">
        <f t="shared" si="1"/>
        <v>27017</v>
      </c>
    </row>
    <row r="351">
      <c r="A351" s="249">
        <v>45933.0</v>
      </c>
      <c r="B351" s="60" t="s">
        <v>287</v>
      </c>
      <c r="C351" s="78"/>
      <c r="D351" s="1">
        <v>2905.0</v>
      </c>
      <c r="E351" s="254" t="s">
        <v>291</v>
      </c>
      <c r="F351" s="252">
        <f t="shared" si="1"/>
        <v>24112</v>
      </c>
    </row>
    <row r="352">
      <c r="A352" s="249">
        <v>45937.0</v>
      </c>
      <c r="B352" s="60" t="s">
        <v>287</v>
      </c>
      <c r="C352" s="78"/>
      <c r="D352" s="1">
        <v>2700.0</v>
      </c>
      <c r="E352" s="254">
        <v>9.0729473E7</v>
      </c>
      <c r="F352" s="252">
        <f t="shared" si="1"/>
        <v>21412</v>
      </c>
    </row>
    <row r="353">
      <c r="A353" s="255"/>
      <c r="B353" s="60" t="s">
        <v>355</v>
      </c>
      <c r="C353" s="78"/>
      <c r="D353" s="1">
        <v>4999.0</v>
      </c>
      <c r="E353" s="254">
        <v>9.7535819E7</v>
      </c>
      <c r="F353" s="252">
        <f t="shared" si="1"/>
        <v>16413</v>
      </c>
    </row>
    <row r="354">
      <c r="A354" s="255"/>
      <c r="B354" s="60" t="s">
        <v>275</v>
      </c>
      <c r="C354" s="78"/>
      <c r="D354" s="1">
        <v>12.0</v>
      </c>
      <c r="E354" s="254">
        <v>9.029031E7</v>
      </c>
      <c r="F354" s="252">
        <f t="shared" si="1"/>
        <v>16401</v>
      </c>
    </row>
    <row r="355">
      <c r="A355" s="255"/>
      <c r="B355" s="60" t="s">
        <v>356</v>
      </c>
      <c r="C355" s="78"/>
      <c r="D355" s="1">
        <v>90.0</v>
      </c>
      <c r="E355" s="254">
        <v>9.0729473E7</v>
      </c>
      <c r="F355" s="252">
        <f t="shared" si="1"/>
        <v>16311</v>
      </c>
    </row>
    <row r="356">
      <c r="A356" s="249">
        <v>45938.0</v>
      </c>
      <c r="B356" s="60" t="s">
        <v>287</v>
      </c>
      <c r="C356" s="78"/>
      <c r="D356" s="1">
        <v>3535.0</v>
      </c>
      <c r="E356" s="254" t="s">
        <v>291</v>
      </c>
      <c r="F356" s="252">
        <f t="shared" si="1"/>
        <v>12776</v>
      </c>
    </row>
    <row r="357">
      <c r="A357" s="255"/>
      <c r="B357" s="60" t="s">
        <v>357</v>
      </c>
      <c r="C357" s="78"/>
      <c r="D357" s="1">
        <v>126.0</v>
      </c>
      <c r="E357" s="254">
        <v>9.0729473E7</v>
      </c>
      <c r="F357" s="252">
        <f t="shared" si="1"/>
        <v>12650</v>
      </c>
    </row>
    <row r="358">
      <c r="A358" s="249">
        <v>45939.0</v>
      </c>
      <c r="B358" s="60" t="s">
        <v>287</v>
      </c>
      <c r="C358" s="78"/>
      <c r="D358" s="1">
        <v>3330.0</v>
      </c>
      <c r="E358" s="254" t="s">
        <v>358</v>
      </c>
      <c r="F358" s="252">
        <f t="shared" si="1"/>
        <v>9320</v>
      </c>
    </row>
    <row r="359">
      <c r="A359" s="255"/>
      <c r="B359" s="60" t="s">
        <v>307</v>
      </c>
      <c r="C359" s="78"/>
      <c r="D359" s="1">
        <v>1419.0</v>
      </c>
      <c r="E359" s="254">
        <v>9.029031E7</v>
      </c>
      <c r="F359" s="252">
        <f t="shared" si="1"/>
        <v>7901</v>
      </c>
    </row>
    <row r="360">
      <c r="A360" s="255"/>
      <c r="B360" s="60" t="s">
        <v>359</v>
      </c>
      <c r="C360" s="78"/>
      <c r="D360" s="1">
        <v>2447.0</v>
      </c>
      <c r="E360" s="254">
        <v>9.0729473E7</v>
      </c>
      <c r="F360" s="252">
        <f t="shared" si="1"/>
        <v>5454</v>
      </c>
    </row>
    <row r="361">
      <c r="A361" s="255"/>
      <c r="B361" s="60" t="s">
        <v>275</v>
      </c>
      <c r="C361" s="78"/>
      <c r="D361" s="1">
        <v>3.0</v>
      </c>
      <c r="E361" s="254">
        <v>9.029031E7</v>
      </c>
      <c r="F361" s="252">
        <f t="shared" si="1"/>
        <v>5451</v>
      </c>
    </row>
    <row r="362">
      <c r="A362" s="249">
        <v>45943.0</v>
      </c>
      <c r="B362" s="60" t="s">
        <v>289</v>
      </c>
      <c r="C362" s="5">
        <v>30000.0</v>
      </c>
      <c r="D362" s="250"/>
      <c r="E362" s="251"/>
      <c r="F362" s="252">
        <f t="shared" si="1"/>
        <v>35451</v>
      </c>
    </row>
    <row r="363">
      <c r="A363" s="255"/>
      <c r="B363" s="60" t="s">
        <v>287</v>
      </c>
      <c r="C363" s="78"/>
      <c r="D363" s="1">
        <v>2625.0</v>
      </c>
      <c r="E363" s="251"/>
      <c r="F363" s="252">
        <f t="shared" si="1"/>
        <v>32826</v>
      </c>
    </row>
    <row r="364">
      <c r="A364" s="249">
        <v>45944.0</v>
      </c>
      <c r="B364" s="60" t="s">
        <v>360</v>
      </c>
      <c r="C364" s="5">
        <v>6000.0</v>
      </c>
      <c r="D364" s="250"/>
      <c r="E364" s="251"/>
      <c r="F364" s="252">
        <f t="shared" si="1"/>
        <v>38826</v>
      </c>
    </row>
    <row r="365">
      <c r="A365" s="255"/>
      <c r="B365" s="60" t="s">
        <v>287</v>
      </c>
      <c r="C365" s="78"/>
      <c r="D365" s="1">
        <v>2755.0</v>
      </c>
      <c r="E365" s="254">
        <v>9.0729473E7</v>
      </c>
      <c r="F365" s="252">
        <f t="shared" si="1"/>
        <v>36071</v>
      </c>
    </row>
    <row r="366">
      <c r="A366" s="249">
        <v>45945.0</v>
      </c>
      <c r="B366" s="60" t="s">
        <v>287</v>
      </c>
      <c r="C366" s="78"/>
      <c r="D366" s="1">
        <v>3684.0</v>
      </c>
      <c r="E366" s="254" t="s">
        <v>291</v>
      </c>
      <c r="F366" s="252">
        <f t="shared" si="1"/>
        <v>32387</v>
      </c>
    </row>
    <row r="367">
      <c r="A367" s="249">
        <v>45946.0</v>
      </c>
      <c r="B367" s="60" t="s">
        <v>287</v>
      </c>
      <c r="C367" s="78"/>
      <c r="D367" s="1">
        <v>3205.0</v>
      </c>
      <c r="E367" s="254" t="s">
        <v>291</v>
      </c>
      <c r="F367" s="252">
        <f t="shared" si="1"/>
        <v>29182</v>
      </c>
    </row>
    <row r="368">
      <c r="A368" s="249">
        <v>45947.0</v>
      </c>
      <c r="B368" s="60" t="s">
        <v>287</v>
      </c>
      <c r="C368" s="78"/>
      <c r="D368" s="1">
        <v>2702.0</v>
      </c>
      <c r="E368" s="254">
        <v>9.029031E7</v>
      </c>
      <c r="F368" s="252">
        <f t="shared" si="1"/>
        <v>26480</v>
      </c>
    </row>
    <row r="369">
      <c r="A369" s="255"/>
      <c r="B369" s="60" t="s">
        <v>360</v>
      </c>
      <c r="C369" s="5">
        <v>2000.0</v>
      </c>
      <c r="D369" s="250"/>
      <c r="E369" s="251"/>
      <c r="F369" s="252">
        <f t="shared" si="1"/>
        <v>28480</v>
      </c>
    </row>
    <row r="370">
      <c r="A370" s="249">
        <v>45950.0</v>
      </c>
      <c r="B370" s="60" t="s">
        <v>287</v>
      </c>
      <c r="C370" s="78"/>
      <c r="D370" s="1">
        <v>2810.0</v>
      </c>
      <c r="E370" s="254">
        <v>9.029031E7</v>
      </c>
      <c r="F370" s="252">
        <f t="shared" si="1"/>
        <v>25670</v>
      </c>
    </row>
    <row r="371">
      <c r="A371" s="249">
        <v>45951.0</v>
      </c>
      <c r="B371" s="60" t="s">
        <v>287</v>
      </c>
      <c r="C371" s="78"/>
      <c r="D371" s="1">
        <v>2670.0</v>
      </c>
      <c r="E371" s="254" t="s">
        <v>291</v>
      </c>
      <c r="F371" s="252">
        <f t="shared" si="1"/>
        <v>23000</v>
      </c>
    </row>
    <row r="372">
      <c r="A372" s="249">
        <v>45952.0</v>
      </c>
      <c r="B372" s="60" t="s">
        <v>287</v>
      </c>
      <c r="C372" s="78"/>
      <c r="D372" s="1">
        <v>3430.0</v>
      </c>
      <c r="E372" s="254">
        <v>9.0729473E7</v>
      </c>
      <c r="F372" s="252">
        <f t="shared" si="1"/>
        <v>19570</v>
      </c>
    </row>
    <row r="373">
      <c r="A373" s="249">
        <v>45953.0</v>
      </c>
      <c r="B373" s="60" t="s">
        <v>287</v>
      </c>
      <c r="C373" s="78"/>
      <c r="D373" s="1">
        <v>2840.0</v>
      </c>
      <c r="E373" s="254" t="s">
        <v>291</v>
      </c>
      <c r="F373" s="252">
        <f t="shared" si="1"/>
        <v>16730</v>
      </c>
    </row>
    <row r="374">
      <c r="A374" s="249">
        <v>45957.0</v>
      </c>
      <c r="B374" s="60" t="s">
        <v>287</v>
      </c>
      <c r="C374" s="78"/>
      <c r="D374" s="1">
        <v>2958.0</v>
      </c>
      <c r="E374" s="254" t="s">
        <v>291</v>
      </c>
      <c r="F374" s="252">
        <f t="shared" si="1"/>
        <v>13772</v>
      </c>
    </row>
    <row r="375">
      <c r="A375" s="249">
        <v>45958.0</v>
      </c>
      <c r="B375" s="60" t="s">
        <v>287</v>
      </c>
      <c r="C375" s="78"/>
      <c r="D375" s="1">
        <v>2670.0</v>
      </c>
      <c r="E375" s="254"/>
      <c r="F375" s="252">
        <f t="shared" si="1"/>
        <v>11102</v>
      </c>
    </row>
    <row r="376">
      <c r="A376" s="255"/>
      <c r="B376" s="60" t="s">
        <v>331</v>
      </c>
      <c r="C376" s="78"/>
      <c r="D376" s="1">
        <v>31.0</v>
      </c>
      <c r="E376" s="251"/>
      <c r="F376" s="252">
        <f t="shared" si="1"/>
        <v>11071</v>
      </c>
    </row>
    <row r="377">
      <c r="A377" s="249">
        <v>45959.0</v>
      </c>
      <c r="B377" s="60" t="s">
        <v>287</v>
      </c>
      <c r="C377" s="78"/>
      <c r="D377" s="1">
        <v>2760.0</v>
      </c>
      <c r="E377" s="254" t="s">
        <v>291</v>
      </c>
      <c r="F377" s="252">
        <f t="shared" si="1"/>
        <v>8311</v>
      </c>
    </row>
    <row r="378">
      <c r="A378" s="255"/>
      <c r="B378" s="60" t="s">
        <v>361</v>
      </c>
      <c r="C378" s="78"/>
      <c r="D378" s="1">
        <v>336.0</v>
      </c>
      <c r="E378" s="251"/>
      <c r="F378" s="252">
        <f t="shared" si="1"/>
        <v>7975</v>
      </c>
    </row>
    <row r="379">
      <c r="A379" s="249">
        <v>45960.0</v>
      </c>
      <c r="B379" s="60" t="s">
        <v>287</v>
      </c>
      <c r="C379" s="78"/>
      <c r="D379" s="1">
        <v>2755.0</v>
      </c>
      <c r="E379" s="254"/>
      <c r="F379" s="252">
        <f t="shared" si="1"/>
        <v>5220</v>
      </c>
    </row>
    <row r="380">
      <c r="A380" s="255"/>
      <c r="B380" s="60" t="s">
        <v>289</v>
      </c>
      <c r="C380" s="5">
        <v>45000.0</v>
      </c>
      <c r="D380" s="250"/>
      <c r="E380" s="251"/>
      <c r="F380" s="252">
        <f t="shared" si="1"/>
        <v>50220</v>
      </c>
    </row>
    <row r="381">
      <c r="A381" s="249">
        <v>45961.0</v>
      </c>
      <c r="B381" s="60" t="s">
        <v>287</v>
      </c>
      <c r="C381" s="5"/>
      <c r="D381" s="1">
        <v>2580.0</v>
      </c>
      <c r="E381" s="254" t="s">
        <v>291</v>
      </c>
      <c r="F381" s="252">
        <f t="shared" si="1"/>
        <v>47640</v>
      </c>
    </row>
    <row r="382">
      <c r="A382" s="255"/>
      <c r="B382" s="60" t="s">
        <v>361</v>
      </c>
      <c r="C382" s="78"/>
      <c r="D382" s="1">
        <v>342.0</v>
      </c>
      <c r="E382" s="251"/>
      <c r="F382" s="252">
        <f t="shared" si="1"/>
        <v>47298</v>
      </c>
    </row>
    <row r="383">
      <c r="A383" s="249">
        <v>45964.0</v>
      </c>
      <c r="B383" s="60" t="s">
        <v>362</v>
      </c>
      <c r="C383" s="5">
        <v>4977.0</v>
      </c>
      <c r="D383" s="1">
        <v>4977.0</v>
      </c>
      <c r="E383" s="254">
        <v>9.7535819E7</v>
      </c>
      <c r="F383" s="252">
        <f t="shared" si="1"/>
        <v>47298</v>
      </c>
      <c r="G383" s="122"/>
    </row>
    <row r="384">
      <c r="A384" s="255"/>
      <c r="B384" s="60" t="s">
        <v>287</v>
      </c>
      <c r="C384" s="78"/>
      <c r="D384" s="1">
        <v>2390.0</v>
      </c>
      <c r="E384" s="254" t="s">
        <v>291</v>
      </c>
      <c r="F384" s="252">
        <f t="shared" si="1"/>
        <v>44908</v>
      </c>
    </row>
    <row r="385">
      <c r="A385" s="249">
        <v>45965.0</v>
      </c>
      <c r="B385" s="60" t="s">
        <v>363</v>
      </c>
      <c r="C385" s="5">
        <v>200.0</v>
      </c>
      <c r="D385" s="250"/>
      <c r="E385" s="251"/>
      <c r="F385" s="252">
        <f t="shared" si="1"/>
        <v>45108</v>
      </c>
    </row>
    <row r="386">
      <c r="A386" s="255"/>
      <c r="B386" s="60" t="s">
        <v>364</v>
      </c>
      <c r="C386" s="5">
        <v>3045.0</v>
      </c>
      <c r="D386" s="1">
        <v>3045.0</v>
      </c>
      <c r="E386" s="254" t="s">
        <v>291</v>
      </c>
      <c r="F386" s="252">
        <f t="shared" si="1"/>
        <v>45108</v>
      </c>
      <c r="G386" s="122"/>
    </row>
    <row r="387">
      <c r="A387" s="255"/>
      <c r="B387" s="60" t="s">
        <v>287</v>
      </c>
      <c r="C387" s="78"/>
      <c r="D387" s="1">
        <v>15.0</v>
      </c>
      <c r="E387" s="254" t="s">
        <v>291</v>
      </c>
      <c r="F387" s="252">
        <f t="shared" si="1"/>
        <v>45093</v>
      </c>
    </row>
    <row r="388">
      <c r="A388" s="249">
        <v>45966.0</v>
      </c>
      <c r="B388" s="60" t="s">
        <v>364</v>
      </c>
      <c r="C388" s="5">
        <v>2915.0</v>
      </c>
      <c r="D388" s="1">
        <v>2915.0</v>
      </c>
      <c r="E388" s="251"/>
      <c r="F388" s="252">
        <f t="shared" si="1"/>
        <v>45093</v>
      </c>
      <c r="G388" s="122" t="s">
        <v>365</v>
      </c>
    </row>
    <row r="389">
      <c r="A389" s="255"/>
      <c r="B389" s="60" t="s">
        <v>275</v>
      </c>
      <c r="C389" s="78"/>
      <c r="D389" s="1">
        <v>63.0</v>
      </c>
      <c r="E389" s="254">
        <v>9.029031E7</v>
      </c>
      <c r="F389" s="252">
        <f t="shared" si="1"/>
        <v>45030</v>
      </c>
    </row>
    <row r="390">
      <c r="A390" s="249">
        <v>45967.0</v>
      </c>
      <c r="B390" s="60" t="s">
        <v>287</v>
      </c>
      <c r="C390" s="78"/>
      <c r="D390" s="1">
        <v>3320.0</v>
      </c>
      <c r="E390" s="254" t="s">
        <v>291</v>
      </c>
      <c r="F390" s="252">
        <f t="shared" si="1"/>
        <v>41710</v>
      </c>
    </row>
    <row r="391">
      <c r="A391" s="249">
        <v>45968.0</v>
      </c>
      <c r="B391" s="60" t="s">
        <v>287</v>
      </c>
      <c r="C391" s="78"/>
      <c r="D391" s="1">
        <v>2720.0</v>
      </c>
      <c r="E391" s="254" t="s">
        <v>291</v>
      </c>
      <c r="F391" s="252">
        <f t="shared" si="1"/>
        <v>38990</v>
      </c>
    </row>
    <row r="392">
      <c r="A392" s="249">
        <v>45971.0</v>
      </c>
      <c r="B392" s="60" t="s">
        <v>287</v>
      </c>
      <c r="C392" s="5"/>
      <c r="D392" s="1">
        <v>2975.0</v>
      </c>
      <c r="E392" s="254">
        <v>9.029031E7</v>
      </c>
      <c r="F392" s="252">
        <f t="shared" si="1"/>
        <v>36015</v>
      </c>
    </row>
    <row r="393">
      <c r="A393" s="255"/>
      <c r="B393" s="60" t="s">
        <v>307</v>
      </c>
      <c r="C393" s="78"/>
      <c r="D393" s="1">
        <v>2341.0</v>
      </c>
      <c r="E393" s="254" t="s">
        <v>291</v>
      </c>
      <c r="F393" s="252">
        <f t="shared" si="1"/>
        <v>33674</v>
      </c>
    </row>
    <row r="394">
      <c r="A394" s="255"/>
      <c r="B394" s="60" t="s">
        <v>342</v>
      </c>
      <c r="C394" s="78"/>
      <c r="D394" s="1">
        <v>1332.0</v>
      </c>
      <c r="E394" s="254" t="s">
        <v>291</v>
      </c>
      <c r="F394" s="252">
        <f t="shared" si="1"/>
        <v>32342</v>
      </c>
    </row>
    <row r="395">
      <c r="A395" s="255"/>
      <c r="B395" s="60" t="s">
        <v>366</v>
      </c>
      <c r="C395" s="5">
        <v>55.0</v>
      </c>
      <c r="D395" s="1"/>
      <c r="E395" s="251"/>
      <c r="F395" s="252">
        <f t="shared" si="1"/>
        <v>32397</v>
      </c>
    </row>
    <row r="396">
      <c r="A396" s="255"/>
      <c r="B396" s="60" t="s">
        <v>275</v>
      </c>
      <c r="C396" s="78"/>
      <c r="D396" s="1">
        <v>27.0</v>
      </c>
      <c r="E396" s="254">
        <v>9.029031E7</v>
      </c>
      <c r="F396" s="252">
        <f t="shared" si="1"/>
        <v>32370</v>
      </c>
    </row>
    <row r="397">
      <c r="A397" s="249">
        <v>45972.0</v>
      </c>
      <c r="B397" s="60" t="s">
        <v>287</v>
      </c>
      <c r="C397" s="78"/>
      <c r="D397" s="1">
        <v>3055.0</v>
      </c>
      <c r="E397" s="251"/>
      <c r="F397" s="252">
        <f t="shared" si="1"/>
        <v>29315</v>
      </c>
    </row>
    <row r="398">
      <c r="A398" s="249">
        <v>45974.0</v>
      </c>
      <c r="B398" s="60" t="s">
        <v>287</v>
      </c>
      <c r="C398" s="78"/>
      <c r="D398" s="1">
        <v>2999.0</v>
      </c>
      <c r="E398" s="254">
        <v>9.7535819E7</v>
      </c>
      <c r="F398" s="252">
        <f t="shared" si="1"/>
        <v>26316</v>
      </c>
    </row>
    <row r="399">
      <c r="A399" s="249">
        <v>45975.0</v>
      </c>
      <c r="B399" s="60" t="s">
        <v>287</v>
      </c>
      <c r="C399" s="78"/>
      <c r="D399" s="1">
        <v>2140.0</v>
      </c>
      <c r="E399" s="254" t="s">
        <v>291</v>
      </c>
      <c r="F399" s="252">
        <f t="shared" si="1"/>
        <v>24176</v>
      </c>
    </row>
    <row r="400">
      <c r="A400" s="249">
        <v>45978.0</v>
      </c>
      <c r="B400" s="60" t="s">
        <v>287</v>
      </c>
      <c r="C400" s="78"/>
      <c r="D400" s="1">
        <v>2895.0</v>
      </c>
      <c r="E400" s="254" t="s">
        <v>291</v>
      </c>
      <c r="F400" s="252">
        <f t="shared" si="1"/>
        <v>21281</v>
      </c>
    </row>
    <row r="401">
      <c r="A401" s="255"/>
      <c r="B401" s="60" t="s">
        <v>275</v>
      </c>
      <c r="C401" s="78"/>
      <c r="D401" s="1">
        <v>54.0</v>
      </c>
      <c r="E401" s="251"/>
      <c r="F401" s="252">
        <f t="shared" si="1"/>
        <v>21227</v>
      </c>
    </row>
    <row r="402">
      <c r="A402" s="249">
        <v>45979.0</v>
      </c>
      <c r="B402" s="60" t="s">
        <v>287</v>
      </c>
      <c r="C402" s="78"/>
      <c r="D402" s="1">
        <v>2860.0</v>
      </c>
      <c r="E402" s="254">
        <v>9.7535819E7</v>
      </c>
      <c r="F402" s="252">
        <f t="shared" si="1"/>
        <v>18367</v>
      </c>
    </row>
    <row r="403">
      <c r="A403" s="249">
        <v>45980.0</v>
      </c>
      <c r="B403" s="60" t="s">
        <v>287</v>
      </c>
      <c r="C403" s="78"/>
      <c r="D403" s="1">
        <v>3189.0</v>
      </c>
      <c r="E403" s="254" t="s">
        <v>291</v>
      </c>
      <c r="F403" s="252">
        <f t="shared" si="1"/>
        <v>15178</v>
      </c>
    </row>
    <row r="404">
      <c r="A404" s="255"/>
      <c r="B404" s="60" t="s">
        <v>275</v>
      </c>
      <c r="C404" s="78"/>
      <c r="D404" s="1">
        <v>28.0</v>
      </c>
      <c r="E404" s="254">
        <v>9.029031E7</v>
      </c>
      <c r="F404" s="252">
        <f t="shared" si="1"/>
        <v>15150</v>
      </c>
    </row>
    <row r="405">
      <c r="A405" s="255"/>
      <c r="B405" s="60" t="s">
        <v>367</v>
      </c>
      <c r="C405" s="78"/>
      <c r="D405" s="1">
        <v>432.0</v>
      </c>
      <c r="E405" s="251"/>
      <c r="F405" s="252">
        <f t="shared" si="1"/>
        <v>14718</v>
      </c>
    </row>
    <row r="406">
      <c r="A406" s="249">
        <v>45981.0</v>
      </c>
      <c r="B406" s="60" t="s">
        <v>287</v>
      </c>
      <c r="C406" s="78"/>
      <c r="D406" s="1">
        <v>2870.0</v>
      </c>
      <c r="E406" s="254" t="s">
        <v>291</v>
      </c>
      <c r="F406" s="252">
        <f t="shared" si="1"/>
        <v>11848</v>
      </c>
    </row>
    <row r="407">
      <c r="A407" s="249">
        <v>45982.0</v>
      </c>
      <c r="B407" s="60" t="s">
        <v>287</v>
      </c>
      <c r="C407" s="78"/>
      <c r="D407" s="1">
        <v>2780.0</v>
      </c>
      <c r="E407" s="254" t="s">
        <v>291</v>
      </c>
      <c r="F407" s="252">
        <f t="shared" si="1"/>
        <v>9068</v>
      </c>
    </row>
    <row r="408">
      <c r="A408" s="249">
        <v>45985.0</v>
      </c>
      <c r="B408" s="60" t="s">
        <v>287</v>
      </c>
      <c r="C408" s="78"/>
      <c r="D408" s="1">
        <v>3290.0</v>
      </c>
      <c r="E408" s="254" t="s">
        <v>291</v>
      </c>
      <c r="F408" s="252">
        <f t="shared" si="1"/>
        <v>5778</v>
      </c>
    </row>
    <row r="409">
      <c r="A409" s="249">
        <v>45986.0</v>
      </c>
      <c r="B409" s="60" t="s">
        <v>287</v>
      </c>
      <c r="C409" s="78"/>
      <c r="D409" s="1">
        <v>3475.0</v>
      </c>
      <c r="E409" s="254" t="s">
        <v>291</v>
      </c>
      <c r="F409" s="252">
        <f t="shared" si="1"/>
        <v>2303</v>
      </c>
    </row>
    <row r="410">
      <c r="A410" s="249">
        <v>45987.0</v>
      </c>
      <c r="B410" s="60" t="s">
        <v>368</v>
      </c>
      <c r="C410" s="78"/>
      <c r="D410" s="1">
        <v>278.0</v>
      </c>
      <c r="E410" s="251"/>
      <c r="F410" s="252">
        <f t="shared" si="1"/>
        <v>2025</v>
      </c>
      <c r="G410" s="122" t="s">
        <v>369</v>
      </c>
    </row>
    <row r="411">
      <c r="A411" s="255"/>
      <c r="B411" s="60" t="s">
        <v>289</v>
      </c>
      <c r="C411" s="5">
        <v>20000.0</v>
      </c>
      <c r="D411" s="250"/>
      <c r="E411" s="251"/>
      <c r="F411" s="252">
        <f t="shared" si="1"/>
        <v>22025</v>
      </c>
    </row>
    <row r="412">
      <c r="A412" s="255"/>
      <c r="B412" s="60" t="s">
        <v>289</v>
      </c>
      <c r="C412" s="5">
        <v>14.0</v>
      </c>
      <c r="D412" s="250"/>
      <c r="E412" s="251"/>
      <c r="F412" s="252">
        <f t="shared" si="1"/>
        <v>22039</v>
      </c>
    </row>
    <row r="413">
      <c r="A413" s="255"/>
      <c r="B413" s="60" t="s">
        <v>287</v>
      </c>
      <c r="C413" s="78"/>
      <c r="D413" s="1">
        <v>3180.0</v>
      </c>
      <c r="E413" s="254" t="s">
        <v>291</v>
      </c>
      <c r="F413" s="252">
        <f t="shared" si="1"/>
        <v>18859</v>
      </c>
    </row>
    <row r="414">
      <c r="A414" s="249">
        <v>45988.0</v>
      </c>
      <c r="B414" s="60" t="s">
        <v>287</v>
      </c>
      <c r="C414" s="78"/>
      <c r="D414" s="1">
        <v>3550.0</v>
      </c>
      <c r="E414" s="254" t="s">
        <v>291</v>
      </c>
      <c r="F414" s="252">
        <f t="shared" si="1"/>
        <v>15309</v>
      </c>
    </row>
    <row r="415">
      <c r="A415" s="249">
        <v>45989.0</v>
      </c>
      <c r="B415" s="60" t="s">
        <v>287</v>
      </c>
      <c r="C415" s="78"/>
      <c r="D415" s="1">
        <v>1910.0</v>
      </c>
      <c r="E415" s="254" t="s">
        <v>291</v>
      </c>
      <c r="F415" s="252">
        <f t="shared" si="1"/>
        <v>13399</v>
      </c>
    </row>
    <row r="416">
      <c r="A416" s="249">
        <v>45990.0</v>
      </c>
      <c r="B416" s="60" t="s">
        <v>370</v>
      </c>
      <c r="C416" s="78"/>
      <c r="D416" s="1">
        <v>38.0</v>
      </c>
      <c r="E416" s="254">
        <v>9.0729473E7</v>
      </c>
      <c r="F416" s="252">
        <f t="shared" si="1"/>
        <v>13361</v>
      </c>
    </row>
    <row r="417">
      <c r="A417" s="249">
        <v>45992.0</v>
      </c>
      <c r="B417" s="60" t="s">
        <v>287</v>
      </c>
      <c r="C417" s="78"/>
      <c r="D417" s="1">
        <v>2787.0</v>
      </c>
      <c r="E417" s="254">
        <v>9.0729473E7</v>
      </c>
      <c r="F417" s="252">
        <f t="shared" si="1"/>
        <v>10574</v>
      </c>
    </row>
    <row r="418">
      <c r="A418" s="249">
        <v>45993.0</v>
      </c>
      <c r="B418" s="60" t="s">
        <v>287</v>
      </c>
      <c r="C418" s="78"/>
      <c r="D418" s="1">
        <v>3010.0</v>
      </c>
      <c r="E418" s="254" t="s">
        <v>291</v>
      </c>
      <c r="F418" s="252">
        <f t="shared" si="1"/>
        <v>7564</v>
      </c>
    </row>
    <row r="419">
      <c r="A419" s="249">
        <v>45994.0</v>
      </c>
      <c r="B419" s="60" t="s">
        <v>287</v>
      </c>
      <c r="C419" s="78"/>
      <c r="D419" s="1">
        <v>3900.0</v>
      </c>
      <c r="E419" s="254" t="s">
        <v>291</v>
      </c>
      <c r="F419" s="252">
        <f t="shared" si="1"/>
        <v>3664</v>
      </c>
    </row>
    <row r="420">
      <c r="A420" s="255"/>
      <c r="B420" s="60" t="s">
        <v>289</v>
      </c>
      <c r="C420" s="5">
        <v>20000.0</v>
      </c>
      <c r="D420" s="250"/>
      <c r="E420" s="254"/>
      <c r="F420" s="252">
        <f t="shared" si="1"/>
        <v>23664</v>
      </c>
    </row>
    <row r="421">
      <c r="A421" s="255"/>
      <c r="B421" s="60" t="s">
        <v>275</v>
      </c>
      <c r="C421" s="78"/>
      <c r="D421" s="1">
        <v>3.0</v>
      </c>
      <c r="E421" s="254">
        <v>9.0729473E7</v>
      </c>
      <c r="F421" s="252">
        <f t="shared" si="1"/>
        <v>23661</v>
      </c>
    </row>
    <row r="422">
      <c r="A422" s="255"/>
      <c r="B422" s="60" t="s">
        <v>371</v>
      </c>
      <c r="C422" s="1">
        <v>4971.0</v>
      </c>
      <c r="D422" s="1">
        <v>4971.0</v>
      </c>
      <c r="E422" s="254">
        <v>9.029031E7</v>
      </c>
      <c r="F422" s="252">
        <f t="shared" si="1"/>
        <v>23661</v>
      </c>
    </row>
    <row r="423">
      <c r="A423" s="249">
        <v>45995.0</v>
      </c>
      <c r="B423" s="60" t="s">
        <v>275</v>
      </c>
      <c r="C423" s="78"/>
      <c r="D423" s="1">
        <v>40.0</v>
      </c>
      <c r="E423" s="254">
        <v>9.029031E7</v>
      </c>
      <c r="F423" s="252">
        <f t="shared" si="1"/>
        <v>23621</v>
      </c>
    </row>
    <row r="424">
      <c r="A424" s="255"/>
      <c r="B424" s="60" t="s">
        <v>287</v>
      </c>
      <c r="C424" s="78"/>
      <c r="D424" s="1">
        <v>3680.0</v>
      </c>
      <c r="E424" s="254">
        <v>9.0729473E7</v>
      </c>
      <c r="F424" s="252">
        <f t="shared" si="1"/>
        <v>19941</v>
      </c>
    </row>
    <row r="425">
      <c r="A425" s="249">
        <v>45996.0</v>
      </c>
      <c r="B425" s="60" t="s">
        <v>287</v>
      </c>
      <c r="C425" s="78"/>
      <c r="D425" s="1">
        <v>3490.0</v>
      </c>
      <c r="E425" s="254" t="s">
        <v>291</v>
      </c>
      <c r="F425" s="252">
        <f t="shared" si="1"/>
        <v>16451</v>
      </c>
    </row>
    <row r="426">
      <c r="A426" s="249"/>
      <c r="B426" s="60" t="s">
        <v>275</v>
      </c>
      <c r="C426" s="78"/>
      <c r="D426" s="1">
        <v>20.0</v>
      </c>
      <c r="E426" s="254">
        <v>9.0729473E7</v>
      </c>
      <c r="F426" s="252">
        <f t="shared" si="1"/>
        <v>16431</v>
      </c>
    </row>
    <row r="427">
      <c r="A427" s="249">
        <v>45999.0</v>
      </c>
      <c r="B427" s="60" t="s">
        <v>275</v>
      </c>
      <c r="C427" s="78"/>
      <c r="D427" s="1">
        <v>20.0</v>
      </c>
      <c r="E427" s="254">
        <v>9.0729473E7</v>
      </c>
      <c r="F427" s="252">
        <f t="shared" si="1"/>
        <v>16411</v>
      </c>
    </row>
    <row r="428">
      <c r="A428" s="249"/>
      <c r="B428" s="60" t="s">
        <v>275</v>
      </c>
      <c r="C428" s="78"/>
      <c r="D428" s="1">
        <v>6.0</v>
      </c>
      <c r="E428" s="254">
        <v>9.0729473E7</v>
      </c>
      <c r="F428" s="252">
        <f t="shared" si="1"/>
        <v>16405</v>
      </c>
    </row>
    <row r="429">
      <c r="A429" s="255"/>
      <c r="B429" s="60" t="s">
        <v>287</v>
      </c>
      <c r="C429" s="78"/>
      <c r="D429" s="1">
        <v>2789.0</v>
      </c>
      <c r="E429" s="254" t="s">
        <v>291</v>
      </c>
      <c r="F429" s="252">
        <f t="shared" si="1"/>
        <v>13616</v>
      </c>
    </row>
    <row r="430">
      <c r="A430" s="249">
        <v>46000.0</v>
      </c>
      <c r="B430" s="60" t="s">
        <v>275</v>
      </c>
      <c r="C430" s="78"/>
      <c r="D430" s="1">
        <v>78.0</v>
      </c>
      <c r="E430" s="254">
        <v>9.0729473E7</v>
      </c>
      <c r="F430" s="252">
        <f t="shared" si="1"/>
        <v>13538</v>
      </c>
    </row>
    <row r="431">
      <c r="A431" s="255"/>
      <c r="B431" s="60" t="s">
        <v>287</v>
      </c>
      <c r="C431" s="78"/>
      <c r="D431" s="1">
        <v>2980.0</v>
      </c>
      <c r="E431" s="254" t="s">
        <v>291</v>
      </c>
      <c r="F431" s="252">
        <f t="shared" si="1"/>
        <v>10558</v>
      </c>
    </row>
    <row r="432">
      <c r="A432" s="255"/>
      <c r="B432" s="60" t="s">
        <v>275</v>
      </c>
      <c r="C432" s="78"/>
      <c r="D432" s="1">
        <v>10.0</v>
      </c>
      <c r="E432" s="254">
        <v>9.029031E7</v>
      </c>
      <c r="F432" s="252">
        <f t="shared" si="1"/>
        <v>10548</v>
      </c>
    </row>
    <row r="433">
      <c r="A433" s="249">
        <v>46001.0</v>
      </c>
      <c r="B433" s="60" t="s">
        <v>275</v>
      </c>
      <c r="C433" s="78"/>
      <c r="D433" s="1">
        <v>43.0</v>
      </c>
      <c r="E433" s="254">
        <v>9.029031E7</v>
      </c>
      <c r="F433" s="252">
        <f t="shared" si="1"/>
        <v>10505</v>
      </c>
    </row>
    <row r="434">
      <c r="A434" s="255"/>
      <c r="B434" s="60" t="s">
        <v>287</v>
      </c>
      <c r="C434" s="78"/>
      <c r="D434" s="1">
        <v>4130.0</v>
      </c>
      <c r="E434" s="254" t="s">
        <v>291</v>
      </c>
      <c r="F434" s="252">
        <f t="shared" si="1"/>
        <v>6375</v>
      </c>
    </row>
    <row r="435">
      <c r="A435" s="255"/>
      <c r="B435" s="60" t="s">
        <v>275</v>
      </c>
      <c r="C435" s="78"/>
      <c r="D435" s="1">
        <v>3.0</v>
      </c>
      <c r="E435" s="254">
        <v>9.029031E7</v>
      </c>
      <c r="F435" s="252">
        <f t="shared" si="1"/>
        <v>6372</v>
      </c>
    </row>
    <row r="436">
      <c r="A436" s="255"/>
      <c r="B436" s="60" t="s">
        <v>342</v>
      </c>
      <c r="C436" s="78"/>
      <c r="D436" s="1">
        <v>2057.0</v>
      </c>
      <c r="E436" s="254">
        <v>9.0729473E7</v>
      </c>
      <c r="F436" s="252">
        <f t="shared" si="1"/>
        <v>4315</v>
      </c>
    </row>
    <row r="437">
      <c r="A437" s="255"/>
      <c r="B437" s="60" t="s">
        <v>307</v>
      </c>
      <c r="C437" s="78"/>
      <c r="D437" s="1">
        <v>1740.0</v>
      </c>
      <c r="E437" s="254" t="s">
        <v>291</v>
      </c>
      <c r="F437" s="252">
        <f t="shared" si="1"/>
        <v>2575</v>
      </c>
    </row>
    <row r="438">
      <c r="A438" s="255"/>
      <c r="B438" s="60" t="s">
        <v>372</v>
      </c>
      <c r="C438" s="78"/>
      <c r="D438" s="1">
        <v>641.0</v>
      </c>
      <c r="E438" s="251"/>
      <c r="F438" s="252">
        <f t="shared" si="1"/>
        <v>1934</v>
      </c>
    </row>
    <row r="439">
      <c r="A439" s="249">
        <v>46002.0</v>
      </c>
      <c r="B439" s="60" t="s">
        <v>289</v>
      </c>
      <c r="C439" s="5">
        <v>20000.0</v>
      </c>
      <c r="D439" s="250"/>
      <c r="E439" s="251"/>
      <c r="F439" s="252">
        <f t="shared" si="1"/>
        <v>21934</v>
      </c>
    </row>
    <row r="440">
      <c r="A440" s="255"/>
      <c r="B440" s="60" t="s">
        <v>287</v>
      </c>
      <c r="C440" s="78"/>
      <c r="D440" s="1">
        <v>3780.0</v>
      </c>
      <c r="E440" s="254" t="s">
        <v>291</v>
      </c>
      <c r="F440" s="252">
        <f t="shared" si="1"/>
        <v>18154</v>
      </c>
    </row>
    <row r="441">
      <c r="A441" s="255"/>
      <c r="B441" s="60" t="s">
        <v>275</v>
      </c>
      <c r="C441" s="78"/>
      <c r="D441" s="1">
        <v>33.0</v>
      </c>
      <c r="E441" s="254">
        <v>9.029031E7</v>
      </c>
      <c r="F441" s="252">
        <f t="shared" si="1"/>
        <v>18121</v>
      </c>
    </row>
    <row r="442">
      <c r="A442" s="249">
        <v>46003.0</v>
      </c>
      <c r="B442" s="60" t="s">
        <v>275</v>
      </c>
      <c r="C442" s="78"/>
      <c r="D442" s="1">
        <v>9.0</v>
      </c>
      <c r="E442" s="254">
        <v>9.0729473E7</v>
      </c>
      <c r="F442" s="252">
        <f t="shared" si="1"/>
        <v>18112</v>
      </c>
    </row>
    <row r="443">
      <c r="A443" s="255"/>
      <c r="B443" s="60" t="s">
        <v>287</v>
      </c>
      <c r="C443" s="78"/>
      <c r="D443" s="1">
        <v>3075.0</v>
      </c>
      <c r="E443" s="254">
        <v>9.0729473E7</v>
      </c>
      <c r="F443" s="252">
        <f t="shared" si="1"/>
        <v>15037</v>
      </c>
    </row>
    <row r="444">
      <c r="A444" s="255"/>
      <c r="B444" s="60" t="s">
        <v>373</v>
      </c>
      <c r="C444" s="78"/>
      <c r="D444" s="1">
        <v>100.0</v>
      </c>
      <c r="E444" s="254">
        <v>9.7535819E7</v>
      </c>
      <c r="F444" s="252">
        <f t="shared" si="1"/>
        <v>14937</v>
      </c>
    </row>
    <row r="445">
      <c r="A445" s="249">
        <v>46006.0</v>
      </c>
      <c r="B445" s="60" t="s">
        <v>374</v>
      </c>
      <c r="C445" s="5">
        <v>4239.0</v>
      </c>
      <c r="D445" s="250"/>
      <c r="E445" s="251"/>
      <c r="F445" s="252"/>
    </row>
    <row r="446">
      <c r="A446" s="255"/>
      <c r="B446" s="39"/>
      <c r="C446" s="78"/>
      <c r="D446" s="250"/>
      <c r="E446" s="251"/>
      <c r="F446" s="252"/>
    </row>
    <row r="447">
      <c r="A447" s="255"/>
      <c r="B447" s="39"/>
      <c r="C447" s="78"/>
      <c r="D447" s="250"/>
      <c r="E447" s="251"/>
      <c r="F447" s="252"/>
    </row>
    <row r="448">
      <c r="A448" s="255"/>
      <c r="B448" s="39"/>
      <c r="C448" s="78"/>
      <c r="D448" s="250"/>
      <c r="E448" s="251"/>
      <c r="F448" s="252"/>
    </row>
    <row r="449">
      <c r="A449" s="255"/>
      <c r="B449" s="39"/>
      <c r="C449" s="78"/>
      <c r="D449" s="250"/>
      <c r="E449" s="251"/>
      <c r="F449" s="252"/>
    </row>
    <row r="450">
      <c r="A450" s="258"/>
      <c r="C450" s="131"/>
      <c r="D450" s="259"/>
      <c r="E450" s="260"/>
      <c r="F450" s="261"/>
    </row>
    <row r="451">
      <c r="A451" s="258"/>
      <c r="C451" s="131"/>
      <c r="D451" s="259"/>
      <c r="E451" s="260"/>
      <c r="F451" s="261"/>
    </row>
    <row r="452">
      <c r="A452" s="258"/>
      <c r="C452" s="131"/>
      <c r="D452" s="259"/>
      <c r="E452" s="260"/>
      <c r="F452" s="261"/>
    </row>
    <row r="453">
      <c r="A453" s="258"/>
      <c r="C453" s="131"/>
      <c r="D453" s="259"/>
      <c r="E453" s="260"/>
      <c r="F453" s="261"/>
    </row>
    <row r="454">
      <c r="A454" s="258"/>
      <c r="C454" s="131"/>
      <c r="D454" s="259"/>
      <c r="E454" s="260"/>
      <c r="F454" s="261"/>
    </row>
    <row r="455">
      <c r="A455" s="258"/>
      <c r="C455" s="131"/>
      <c r="D455" s="259"/>
      <c r="E455" s="260"/>
      <c r="F455" s="261"/>
    </row>
    <row r="456">
      <c r="A456" s="258"/>
      <c r="C456" s="131"/>
      <c r="D456" s="259"/>
      <c r="E456" s="260"/>
      <c r="F456" s="261"/>
    </row>
    <row r="457">
      <c r="A457" s="258"/>
      <c r="C457" s="131"/>
      <c r="D457" s="259"/>
      <c r="E457" s="260"/>
      <c r="F457" s="261"/>
    </row>
    <row r="458">
      <c r="A458" s="258"/>
      <c r="C458" s="131"/>
      <c r="D458" s="259"/>
      <c r="E458" s="260"/>
      <c r="F458" s="261"/>
    </row>
    <row r="459">
      <c r="A459" s="258"/>
      <c r="C459" s="131"/>
      <c r="D459" s="259"/>
      <c r="E459" s="260"/>
      <c r="F459" s="261"/>
    </row>
    <row r="460">
      <c r="A460" s="258"/>
      <c r="C460" s="131"/>
      <c r="D460" s="259"/>
      <c r="E460" s="260"/>
      <c r="F460" s="261"/>
    </row>
    <row r="461">
      <c r="A461" s="258"/>
      <c r="C461" s="131"/>
      <c r="D461" s="259"/>
      <c r="E461" s="260"/>
      <c r="F461" s="261"/>
    </row>
    <row r="462">
      <c r="A462" s="258"/>
      <c r="C462" s="131"/>
      <c r="D462" s="259"/>
      <c r="E462" s="260"/>
      <c r="F462" s="261"/>
    </row>
    <row r="463">
      <c r="A463" s="258"/>
      <c r="C463" s="131"/>
      <c r="D463" s="259"/>
      <c r="E463" s="260"/>
      <c r="F463" s="261"/>
    </row>
    <row r="464">
      <c r="A464" s="258"/>
      <c r="C464" s="131"/>
      <c r="D464" s="259"/>
      <c r="E464" s="260"/>
      <c r="F464" s="261"/>
    </row>
    <row r="465">
      <c r="A465" s="258"/>
      <c r="C465" s="131"/>
      <c r="D465" s="259"/>
      <c r="E465" s="260"/>
      <c r="F465" s="261"/>
    </row>
    <row r="466">
      <c r="A466" s="258"/>
      <c r="C466" s="131"/>
      <c r="D466" s="259"/>
      <c r="E466" s="260"/>
      <c r="F466" s="261"/>
    </row>
    <row r="467">
      <c r="A467" s="258"/>
      <c r="C467" s="131"/>
      <c r="D467" s="259"/>
      <c r="E467" s="260"/>
      <c r="F467" s="261"/>
    </row>
    <row r="468">
      <c r="A468" s="258"/>
      <c r="C468" s="131"/>
      <c r="D468" s="259"/>
      <c r="E468" s="260"/>
      <c r="F468" s="261"/>
    </row>
    <row r="469">
      <c r="A469" s="258"/>
      <c r="C469" s="131"/>
      <c r="D469" s="259"/>
      <c r="E469" s="260"/>
      <c r="F469" s="261"/>
    </row>
    <row r="470">
      <c r="A470" s="258"/>
      <c r="C470" s="131"/>
      <c r="D470" s="259"/>
      <c r="E470" s="260"/>
      <c r="F470" s="261"/>
    </row>
    <row r="471">
      <c r="A471" s="258"/>
      <c r="C471" s="131"/>
      <c r="D471" s="259"/>
      <c r="E471" s="260"/>
      <c r="F471" s="261"/>
    </row>
    <row r="472">
      <c r="A472" s="258"/>
      <c r="C472" s="131"/>
      <c r="D472" s="259"/>
      <c r="E472" s="260"/>
      <c r="F472" s="261"/>
    </row>
    <row r="473">
      <c r="A473" s="258"/>
      <c r="C473" s="131"/>
      <c r="D473" s="259"/>
      <c r="E473" s="260"/>
      <c r="F473" s="261"/>
    </row>
    <row r="474">
      <c r="A474" s="258"/>
      <c r="C474" s="131"/>
      <c r="D474" s="259"/>
      <c r="E474" s="260"/>
      <c r="F474" s="261"/>
    </row>
    <row r="475">
      <c r="A475" s="258"/>
      <c r="C475" s="131"/>
      <c r="D475" s="259"/>
      <c r="E475" s="260"/>
      <c r="F475" s="261"/>
    </row>
    <row r="476">
      <c r="A476" s="258"/>
      <c r="C476" s="131"/>
      <c r="D476" s="259"/>
      <c r="E476" s="260"/>
      <c r="F476" s="261"/>
    </row>
    <row r="477">
      <c r="A477" s="258"/>
      <c r="C477" s="131"/>
      <c r="D477" s="259"/>
      <c r="E477" s="260"/>
      <c r="F477" s="261"/>
    </row>
    <row r="478">
      <c r="A478" s="258"/>
      <c r="C478" s="131"/>
      <c r="D478" s="259"/>
      <c r="E478" s="260"/>
      <c r="F478" s="261"/>
    </row>
    <row r="479">
      <c r="A479" s="258"/>
      <c r="C479" s="131"/>
      <c r="D479" s="259"/>
      <c r="E479" s="260"/>
      <c r="F479" s="261"/>
    </row>
    <row r="480">
      <c r="A480" s="258"/>
      <c r="C480" s="131"/>
      <c r="D480" s="259"/>
      <c r="E480" s="260"/>
      <c r="F480" s="261"/>
    </row>
    <row r="481">
      <c r="A481" s="258"/>
      <c r="C481" s="131"/>
      <c r="D481" s="259"/>
      <c r="E481" s="260"/>
      <c r="F481" s="261"/>
    </row>
    <row r="482">
      <c r="A482" s="258"/>
      <c r="C482" s="131"/>
      <c r="D482" s="259"/>
      <c r="E482" s="260"/>
      <c r="F482" s="261"/>
    </row>
    <row r="483">
      <c r="A483" s="258"/>
      <c r="C483" s="131"/>
      <c r="D483" s="259"/>
      <c r="E483" s="260"/>
      <c r="F483" s="261"/>
    </row>
    <row r="484">
      <c r="A484" s="258"/>
      <c r="C484" s="131"/>
      <c r="D484" s="259"/>
      <c r="E484" s="260"/>
      <c r="F484" s="261"/>
    </row>
    <row r="485">
      <c r="A485" s="258"/>
      <c r="C485" s="131"/>
      <c r="D485" s="259"/>
      <c r="E485" s="260"/>
      <c r="F485" s="261"/>
    </row>
    <row r="486">
      <c r="A486" s="258"/>
      <c r="C486" s="131"/>
      <c r="D486" s="259"/>
      <c r="E486" s="260"/>
      <c r="F486" s="261"/>
    </row>
    <row r="487">
      <c r="A487" s="258"/>
      <c r="C487" s="131"/>
      <c r="D487" s="259"/>
      <c r="E487" s="260"/>
      <c r="F487" s="261"/>
    </row>
    <row r="488">
      <c r="A488" s="258"/>
      <c r="C488" s="131"/>
      <c r="D488" s="259"/>
      <c r="E488" s="260"/>
      <c r="F488" s="261"/>
    </row>
    <row r="489">
      <c r="A489" s="258"/>
      <c r="C489" s="131"/>
      <c r="D489" s="259"/>
      <c r="E489" s="260"/>
      <c r="F489" s="261"/>
    </row>
    <row r="490">
      <c r="A490" s="258"/>
      <c r="C490" s="131"/>
      <c r="D490" s="259"/>
      <c r="E490" s="260"/>
      <c r="F490" s="261"/>
    </row>
    <row r="491">
      <c r="A491" s="258"/>
      <c r="C491" s="131"/>
      <c r="D491" s="259"/>
      <c r="E491" s="260"/>
      <c r="F491" s="261"/>
    </row>
    <row r="492">
      <c r="A492" s="258"/>
      <c r="C492" s="131"/>
      <c r="D492" s="259"/>
      <c r="E492" s="260"/>
      <c r="F492" s="261"/>
    </row>
    <row r="493">
      <c r="A493" s="258"/>
      <c r="C493" s="131"/>
      <c r="D493" s="259"/>
      <c r="E493" s="260"/>
      <c r="F493" s="261"/>
    </row>
    <row r="494">
      <c r="A494" s="258"/>
      <c r="C494" s="131"/>
      <c r="D494" s="259"/>
      <c r="E494" s="260"/>
      <c r="F494" s="261"/>
    </row>
    <row r="495">
      <c r="A495" s="258"/>
      <c r="C495" s="131"/>
      <c r="D495" s="259"/>
      <c r="E495" s="260"/>
      <c r="F495" s="261"/>
    </row>
    <row r="496">
      <c r="A496" s="258"/>
      <c r="C496" s="131"/>
      <c r="D496" s="259"/>
      <c r="E496" s="260"/>
      <c r="F496" s="261"/>
    </row>
    <row r="497">
      <c r="A497" s="258"/>
      <c r="C497" s="131"/>
      <c r="D497" s="259"/>
      <c r="E497" s="260"/>
      <c r="F497" s="261"/>
    </row>
    <row r="498">
      <c r="A498" s="258"/>
      <c r="C498" s="131"/>
      <c r="D498" s="259"/>
      <c r="E498" s="260"/>
      <c r="F498" s="261"/>
    </row>
    <row r="499">
      <c r="A499" s="258"/>
      <c r="C499" s="131"/>
      <c r="D499" s="259"/>
      <c r="E499" s="260"/>
      <c r="F499" s="261"/>
    </row>
    <row r="500">
      <c r="A500" s="258"/>
      <c r="C500" s="131"/>
      <c r="D500" s="259"/>
      <c r="E500" s="260"/>
      <c r="F500" s="261"/>
    </row>
    <row r="501">
      <c r="A501" s="258"/>
      <c r="C501" s="131"/>
      <c r="D501" s="259"/>
      <c r="E501" s="260"/>
      <c r="F501" s="261"/>
    </row>
    <row r="502">
      <c r="A502" s="258"/>
      <c r="C502" s="131"/>
      <c r="D502" s="259"/>
      <c r="E502" s="260"/>
      <c r="F502" s="261"/>
    </row>
    <row r="503">
      <c r="A503" s="258"/>
      <c r="C503" s="131"/>
      <c r="D503" s="259"/>
      <c r="E503" s="260"/>
      <c r="F503" s="261"/>
    </row>
    <row r="504">
      <c r="A504" s="258"/>
      <c r="C504" s="131"/>
      <c r="D504" s="259"/>
      <c r="E504" s="260"/>
      <c r="F504" s="261"/>
    </row>
    <row r="505">
      <c r="A505" s="258"/>
      <c r="C505" s="131"/>
      <c r="D505" s="259"/>
      <c r="E505" s="260"/>
      <c r="F505" s="261"/>
    </row>
    <row r="506">
      <c r="A506" s="258"/>
      <c r="C506" s="131"/>
      <c r="D506" s="259"/>
      <c r="E506" s="260"/>
      <c r="F506" s="261"/>
    </row>
    <row r="507">
      <c r="A507" s="258"/>
      <c r="C507" s="131"/>
      <c r="D507" s="259"/>
      <c r="E507" s="260"/>
      <c r="F507" s="261"/>
    </row>
    <row r="508">
      <c r="A508" s="258"/>
      <c r="C508" s="131"/>
      <c r="D508" s="259"/>
      <c r="E508" s="260"/>
      <c r="F508" s="261"/>
    </row>
    <row r="509">
      <c r="A509" s="258"/>
      <c r="C509" s="131"/>
      <c r="D509" s="259"/>
      <c r="E509" s="260"/>
      <c r="F509" s="261"/>
    </row>
    <row r="510">
      <c r="A510" s="258"/>
      <c r="C510" s="131"/>
      <c r="D510" s="259"/>
      <c r="E510" s="260"/>
      <c r="F510" s="261"/>
    </row>
    <row r="511">
      <c r="A511" s="258"/>
      <c r="C511" s="131"/>
      <c r="D511" s="259"/>
      <c r="E511" s="260"/>
      <c r="F511" s="261"/>
    </row>
    <row r="512">
      <c r="A512" s="258"/>
      <c r="C512" s="131"/>
      <c r="D512" s="259"/>
      <c r="E512" s="260"/>
      <c r="F512" s="261"/>
    </row>
    <row r="513">
      <c r="A513" s="258"/>
      <c r="C513" s="131"/>
      <c r="D513" s="259"/>
      <c r="E513" s="260"/>
      <c r="F513" s="261"/>
    </row>
    <row r="514">
      <c r="A514" s="258"/>
      <c r="C514" s="131"/>
      <c r="D514" s="259"/>
      <c r="E514" s="260"/>
      <c r="F514" s="261"/>
    </row>
    <row r="515">
      <c r="A515" s="258"/>
      <c r="C515" s="131"/>
      <c r="D515" s="259"/>
      <c r="E515" s="260"/>
      <c r="F515" s="261"/>
    </row>
    <row r="516">
      <c r="A516" s="258"/>
      <c r="C516" s="131"/>
      <c r="D516" s="259"/>
      <c r="E516" s="260"/>
      <c r="F516" s="261"/>
    </row>
    <row r="517">
      <c r="A517" s="258"/>
      <c r="C517" s="131"/>
      <c r="D517" s="259"/>
      <c r="E517" s="260"/>
      <c r="F517" s="261"/>
    </row>
    <row r="518">
      <c r="A518" s="258"/>
      <c r="C518" s="131"/>
      <c r="D518" s="259"/>
      <c r="E518" s="260"/>
      <c r="F518" s="261"/>
    </row>
    <row r="519">
      <c r="A519" s="258"/>
      <c r="C519" s="131"/>
      <c r="D519" s="259"/>
      <c r="E519" s="260"/>
      <c r="F519" s="261"/>
    </row>
    <row r="520">
      <c r="A520" s="258"/>
      <c r="C520" s="131"/>
      <c r="D520" s="259"/>
      <c r="E520" s="260"/>
      <c r="F520" s="261"/>
    </row>
    <row r="521">
      <c r="A521" s="258"/>
      <c r="C521" s="131"/>
      <c r="D521" s="259"/>
      <c r="E521" s="260"/>
      <c r="F521" s="261"/>
    </row>
    <row r="522">
      <c r="A522" s="258"/>
      <c r="C522" s="131"/>
      <c r="D522" s="259"/>
      <c r="E522" s="260"/>
      <c r="F522" s="261"/>
    </row>
    <row r="523">
      <c r="A523" s="258"/>
      <c r="C523" s="131"/>
      <c r="D523" s="259"/>
      <c r="E523" s="260"/>
      <c r="F523" s="261"/>
    </row>
    <row r="524">
      <c r="A524" s="258"/>
      <c r="C524" s="131"/>
      <c r="D524" s="259"/>
      <c r="E524" s="260"/>
      <c r="F524" s="261"/>
    </row>
    <row r="525">
      <c r="A525" s="258"/>
      <c r="C525" s="131"/>
      <c r="D525" s="259"/>
      <c r="E525" s="260"/>
      <c r="F525" s="261"/>
    </row>
    <row r="526">
      <c r="A526" s="258"/>
      <c r="C526" s="131"/>
      <c r="D526" s="259"/>
      <c r="E526" s="260"/>
      <c r="F526" s="261"/>
    </row>
    <row r="527">
      <c r="A527" s="258"/>
      <c r="C527" s="131"/>
      <c r="D527" s="259"/>
      <c r="E527" s="260"/>
      <c r="F527" s="261"/>
    </row>
    <row r="528">
      <c r="A528" s="258"/>
      <c r="C528" s="131"/>
      <c r="D528" s="259"/>
      <c r="E528" s="260"/>
      <c r="F528" s="261"/>
    </row>
    <row r="529">
      <c r="A529" s="258"/>
      <c r="C529" s="131"/>
      <c r="D529" s="259"/>
      <c r="E529" s="260"/>
      <c r="F529" s="261"/>
    </row>
    <row r="530">
      <c r="A530" s="258"/>
      <c r="C530" s="131"/>
      <c r="D530" s="259"/>
      <c r="E530" s="260"/>
      <c r="F530" s="261"/>
    </row>
    <row r="531">
      <c r="A531" s="258"/>
      <c r="C531" s="131"/>
      <c r="D531" s="259"/>
      <c r="E531" s="260"/>
      <c r="F531" s="261"/>
    </row>
    <row r="532">
      <c r="A532" s="258"/>
      <c r="C532" s="131"/>
      <c r="D532" s="259"/>
      <c r="E532" s="260"/>
      <c r="F532" s="261"/>
    </row>
    <row r="533">
      <c r="A533" s="258"/>
      <c r="C533" s="131"/>
      <c r="D533" s="259"/>
      <c r="E533" s="260"/>
      <c r="F533" s="261"/>
    </row>
    <row r="534">
      <c r="A534" s="258"/>
      <c r="C534" s="131"/>
      <c r="D534" s="259"/>
      <c r="E534" s="260"/>
      <c r="F534" s="261"/>
    </row>
    <row r="535">
      <c r="A535" s="258"/>
      <c r="C535" s="131"/>
      <c r="D535" s="259"/>
      <c r="E535" s="260"/>
      <c r="F535" s="261"/>
    </row>
    <row r="536">
      <c r="A536" s="258"/>
      <c r="C536" s="131"/>
      <c r="D536" s="259"/>
      <c r="E536" s="260"/>
      <c r="F536" s="261"/>
    </row>
    <row r="537">
      <c r="A537" s="258"/>
      <c r="C537" s="131"/>
      <c r="D537" s="259"/>
      <c r="E537" s="260"/>
      <c r="F537" s="261"/>
    </row>
    <row r="538">
      <c r="A538" s="258"/>
      <c r="C538" s="131"/>
      <c r="D538" s="259"/>
      <c r="E538" s="260"/>
      <c r="F538" s="261"/>
    </row>
    <row r="539">
      <c r="A539" s="258"/>
      <c r="C539" s="131"/>
      <c r="D539" s="259"/>
      <c r="E539" s="260"/>
      <c r="F539" s="261"/>
    </row>
    <row r="540">
      <c r="A540" s="258"/>
      <c r="C540" s="131"/>
      <c r="D540" s="259"/>
      <c r="E540" s="260"/>
      <c r="F540" s="261"/>
    </row>
    <row r="541">
      <c r="A541" s="258"/>
      <c r="C541" s="131"/>
      <c r="D541" s="259"/>
      <c r="E541" s="260"/>
      <c r="F541" s="261"/>
    </row>
    <row r="542">
      <c r="A542" s="258"/>
      <c r="C542" s="131"/>
      <c r="D542" s="259"/>
      <c r="E542" s="260"/>
      <c r="F542" s="261"/>
    </row>
    <row r="543">
      <c r="A543" s="258"/>
      <c r="C543" s="131"/>
      <c r="D543" s="259"/>
      <c r="E543" s="260"/>
      <c r="F543" s="261"/>
    </row>
    <row r="544">
      <c r="A544" s="258"/>
      <c r="C544" s="131"/>
      <c r="D544" s="259"/>
      <c r="E544" s="260"/>
      <c r="F544" s="261"/>
    </row>
    <row r="545">
      <c r="A545" s="258"/>
      <c r="C545" s="131"/>
      <c r="D545" s="259"/>
      <c r="E545" s="260"/>
      <c r="F545" s="261"/>
    </row>
    <row r="546">
      <c r="A546" s="258"/>
      <c r="C546" s="131"/>
      <c r="D546" s="259"/>
      <c r="E546" s="260"/>
      <c r="F546" s="261"/>
    </row>
    <row r="547">
      <c r="A547" s="258"/>
      <c r="C547" s="131"/>
      <c r="D547" s="259"/>
      <c r="E547" s="260"/>
      <c r="F547" s="261"/>
    </row>
    <row r="548">
      <c r="A548" s="258"/>
      <c r="C548" s="131"/>
      <c r="D548" s="259"/>
      <c r="E548" s="260"/>
      <c r="F548" s="261"/>
    </row>
    <row r="549">
      <c r="A549" s="258"/>
      <c r="C549" s="131"/>
      <c r="D549" s="259"/>
      <c r="E549" s="260"/>
      <c r="F549" s="261"/>
    </row>
    <row r="550">
      <c r="A550" s="258"/>
      <c r="C550" s="131"/>
      <c r="D550" s="259"/>
      <c r="E550" s="260"/>
      <c r="F550" s="261"/>
    </row>
    <row r="551">
      <c r="A551" s="258"/>
      <c r="C551" s="131"/>
      <c r="D551" s="259"/>
      <c r="E551" s="260"/>
      <c r="F551" s="261"/>
    </row>
    <row r="552">
      <c r="A552" s="258"/>
      <c r="C552" s="131"/>
      <c r="D552" s="259"/>
      <c r="E552" s="260"/>
      <c r="F552" s="261"/>
    </row>
    <row r="553">
      <c r="A553" s="258"/>
      <c r="C553" s="131"/>
      <c r="D553" s="259"/>
      <c r="E553" s="260"/>
      <c r="F553" s="261"/>
    </row>
    <row r="554">
      <c r="A554" s="258"/>
      <c r="C554" s="131"/>
      <c r="D554" s="259"/>
      <c r="E554" s="260"/>
      <c r="F554" s="261"/>
    </row>
    <row r="555">
      <c r="A555" s="258"/>
      <c r="C555" s="131"/>
      <c r="D555" s="259"/>
      <c r="E555" s="260"/>
      <c r="F555" s="261"/>
    </row>
    <row r="556">
      <c r="A556" s="258"/>
      <c r="C556" s="131"/>
      <c r="D556" s="259"/>
      <c r="E556" s="260"/>
      <c r="F556" s="261"/>
    </row>
    <row r="557">
      <c r="A557" s="258"/>
      <c r="C557" s="131"/>
      <c r="D557" s="259"/>
      <c r="E557" s="260"/>
      <c r="F557" s="261"/>
    </row>
    <row r="558">
      <c r="A558" s="258"/>
      <c r="C558" s="131"/>
      <c r="D558" s="259"/>
      <c r="E558" s="260"/>
      <c r="F558" s="261"/>
    </row>
    <row r="559">
      <c r="A559" s="258"/>
      <c r="C559" s="131"/>
      <c r="D559" s="259"/>
      <c r="E559" s="260"/>
      <c r="F559" s="261"/>
    </row>
    <row r="560">
      <c r="A560" s="258"/>
      <c r="C560" s="131"/>
      <c r="D560" s="259"/>
      <c r="E560" s="260"/>
      <c r="F560" s="261"/>
    </row>
    <row r="561">
      <c r="A561" s="258"/>
      <c r="C561" s="131"/>
      <c r="D561" s="259"/>
      <c r="E561" s="260"/>
      <c r="F561" s="261"/>
    </row>
    <row r="562">
      <c r="A562" s="258"/>
      <c r="C562" s="131"/>
      <c r="D562" s="259"/>
      <c r="E562" s="260"/>
      <c r="F562" s="261"/>
    </row>
    <row r="563">
      <c r="A563" s="258"/>
      <c r="C563" s="131"/>
      <c r="D563" s="259"/>
      <c r="E563" s="260"/>
      <c r="F563" s="261"/>
    </row>
    <row r="564">
      <c r="A564" s="258"/>
      <c r="C564" s="131"/>
      <c r="D564" s="259"/>
      <c r="E564" s="260"/>
      <c r="F564" s="261"/>
    </row>
    <row r="565">
      <c r="A565" s="258"/>
      <c r="C565" s="131"/>
      <c r="D565" s="259"/>
      <c r="E565" s="260"/>
      <c r="F565" s="261"/>
    </row>
    <row r="566">
      <c r="A566" s="258"/>
      <c r="C566" s="131"/>
      <c r="D566" s="259"/>
      <c r="E566" s="260"/>
      <c r="F566" s="261"/>
    </row>
    <row r="567">
      <c r="A567" s="258"/>
      <c r="C567" s="131"/>
      <c r="D567" s="259"/>
      <c r="E567" s="260"/>
      <c r="F567" s="261"/>
    </row>
    <row r="568">
      <c r="A568" s="258"/>
      <c r="C568" s="131"/>
      <c r="D568" s="259"/>
      <c r="E568" s="260"/>
      <c r="F568" s="261"/>
    </row>
    <row r="569">
      <c r="A569" s="258"/>
      <c r="C569" s="131"/>
      <c r="D569" s="259"/>
      <c r="E569" s="260"/>
      <c r="F569" s="261"/>
    </row>
    <row r="570">
      <c r="A570" s="258"/>
      <c r="C570" s="131"/>
      <c r="D570" s="259"/>
      <c r="E570" s="260"/>
      <c r="F570" s="261"/>
    </row>
    <row r="571">
      <c r="A571" s="258"/>
      <c r="C571" s="131"/>
      <c r="D571" s="259"/>
      <c r="E571" s="260"/>
      <c r="F571" s="261"/>
    </row>
    <row r="572">
      <c r="A572" s="258"/>
      <c r="C572" s="131"/>
      <c r="D572" s="259"/>
      <c r="E572" s="260"/>
      <c r="F572" s="261"/>
    </row>
    <row r="573">
      <c r="A573" s="258"/>
      <c r="C573" s="131"/>
      <c r="D573" s="259"/>
      <c r="E573" s="260"/>
      <c r="F573" s="261"/>
    </row>
    <row r="574">
      <c r="A574" s="258"/>
      <c r="C574" s="131"/>
      <c r="D574" s="259"/>
      <c r="E574" s="260"/>
      <c r="F574" s="261"/>
    </row>
    <row r="575">
      <c r="A575" s="258"/>
      <c r="C575" s="131"/>
      <c r="D575" s="259"/>
      <c r="E575" s="260"/>
      <c r="F575" s="261"/>
    </row>
    <row r="576">
      <c r="A576" s="258"/>
      <c r="C576" s="131"/>
      <c r="D576" s="259"/>
      <c r="E576" s="260"/>
      <c r="F576" s="261"/>
    </row>
    <row r="577">
      <c r="A577" s="258"/>
      <c r="C577" s="131"/>
      <c r="D577" s="259"/>
      <c r="E577" s="260"/>
      <c r="F577" s="261"/>
    </row>
    <row r="578">
      <c r="A578" s="258"/>
      <c r="C578" s="131"/>
      <c r="D578" s="259"/>
      <c r="E578" s="260"/>
      <c r="F578" s="261"/>
    </row>
    <row r="579">
      <c r="A579" s="258"/>
      <c r="C579" s="131"/>
      <c r="D579" s="259"/>
      <c r="E579" s="260"/>
      <c r="F579" s="261"/>
    </row>
    <row r="580">
      <c r="A580" s="258"/>
      <c r="C580" s="131"/>
      <c r="D580" s="259"/>
      <c r="E580" s="260"/>
      <c r="F580" s="261"/>
    </row>
    <row r="581">
      <c r="A581" s="258"/>
      <c r="C581" s="131"/>
      <c r="D581" s="259"/>
      <c r="E581" s="260"/>
      <c r="F581" s="261"/>
    </row>
    <row r="582">
      <c r="A582" s="258"/>
      <c r="C582" s="131"/>
      <c r="D582" s="259"/>
      <c r="E582" s="260"/>
      <c r="F582" s="261"/>
    </row>
    <row r="583">
      <c r="A583" s="258"/>
      <c r="C583" s="131"/>
      <c r="D583" s="259"/>
      <c r="E583" s="260"/>
      <c r="F583" s="261"/>
    </row>
    <row r="584">
      <c r="A584" s="258"/>
      <c r="C584" s="131"/>
      <c r="D584" s="259"/>
      <c r="E584" s="260"/>
      <c r="F584" s="261"/>
    </row>
    <row r="585">
      <c r="A585" s="258"/>
      <c r="C585" s="131"/>
      <c r="D585" s="259"/>
      <c r="E585" s="260"/>
      <c r="F585" s="261"/>
    </row>
    <row r="586">
      <c r="A586" s="258"/>
      <c r="C586" s="131"/>
      <c r="D586" s="259"/>
      <c r="E586" s="260"/>
      <c r="F586" s="261"/>
    </row>
    <row r="587">
      <c r="A587" s="258"/>
      <c r="C587" s="131"/>
      <c r="D587" s="259"/>
      <c r="E587" s="260"/>
      <c r="F587" s="261"/>
    </row>
    <row r="588">
      <c r="A588" s="258"/>
      <c r="C588" s="131"/>
      <c r="D588" s="259"/>
      <c r="E588" s="260"/>
      <c r="F588" s="261"/>
    </row>
    <row r="589">
      <c r="A589" s="258"/>
      <c r="C589" s="131"/>
      <c r="D589" s="259"/>
      <c r="E589" s="260"/>
      <c r="F589" s="261"/>
    </row>
    <row r="590">
      <c r="A590" s="258"/>
      <c r="C590" s="131"/>
      <c r="D590" s="259"/>
      <c r="E590" s="260"/>
      <c r="F590" s="261"/>
    </row>
    <row r="591">
      <c r="A591" s="258"/>
      <c r="C591" s="131"/>
      <c r="D591" s="259"/>
      <c r="E591" s="260"/>
      <c r="F591" s="261"/>
    </row>
    <row r="592">
      <c r="A592" s="258"/>
      <c r="C592" s="131"/>
      <c r="D592" s="259"/>
      <c r="E592" s="260"/>
      <c r="F592" s="261"/>
    </row>
    <row r="593">
      <c r="A593" s="258"/>
      <c r="C593" s="131"/>
      <c r="D593" s="259"/>
      <c r="E593" s="260"/>
      <c r="F593" s="261"/>
    </row>
    <row r="594">
      <c r="A594" s="258"/>
      <c r="C594" s="131"/>
      <c r="D594" s="259"/>
      <c r="E594" s="260"/>
      <c r="F594" s="261"/>
    </row>
    <row r="595">
      <c r="A595" s="258"/>
      <c r="C595" s="131"/>
      <c r="D595" s="259"/>
      <c r="E595" s="260"/>
      <c r="F595" s="261"/>
    </row>
    <row r="596">
      <c r="A596" s="258"/>
      <c r="C596" s="131"/>
      <c r="D596" s="259"/>
      <c r="E596" s="260"/>
      <c r="F596" s="261"/>
    </row>
    <row r="597">
      <c r="A597" s="258"/>
      <c r="C597" s="131"/>
      <c r="D597" s="259"/>
      <c r="E597" s="260"/>
      <c r="F597" s="261"/>
    </row>
    <row r="598">
      <c r="A598" s="258"/>
      <c r="C598" s="131"/>
      <c r="D598" s="259"/>
      <c r="E598" s="260"/>
      <c r="F598" s="261"/>
    </row>
    <row r="599">
      <c r="A599" s="258"/>
      <c r="C599" s="131"/>
      <c r="D599" s="259"/>
      <c r="E599" s="260"/>
      <c r="F599" s="261"/>
    </row>
    <row r="600">
      <c r="A600" s="258"/>
      <c r="C600" s="131"/>
      <c r="D600" s="259"/>
      <c r="E600" s="260"/>
      <c r="F600" s="261"/>
    </row>
    <row r="601">
      <c r="A601" s="258"/>
      <c r="C601" s="131"/>
      <c r="D601" s="259"/>
      <c r="E601" s="260"/>
      <c r="F601" s="261"/>
    </row>
    <row r="602">
      <c r="A602" s="258"/>
      <c r="C602" s="131"/>
      <c r="D602" s="259"/>
      <c r="E602" s="260"/>
      <c r="F602" s="261"/>
    </row>
    <row r="603">
      <c r="A603" s="258"/>
      <c r="C603" s="131"/>
      <c r="D603" s="259"/>
      <c r="E603" s="260"/>
      <c r="F603" s="261"/>
    </row>
    <row r="604">
      <c r="A604" s="258"/>
      <c r="C604" s="131"/>
      <c r="D604" s="259"/>
      <c r="E604" s="260"/>
      <c r="F604" s="261"/>
    </row>
    <row r="605">
      <c r="A605" s="258"/>
      <c r="C605" s="131"/>
      <c r="D605" s="259"/>
      <c r="E605" s="260"/>
      <c r="F605" s="261"/>
    </row>
    <row r="606">
      <c r="A606" s="258"/>
      <c r="C606" s="131"/>
      <c r="D606" s="259"/>
      <c r="E606" s="260"/>
      <c r="F606" s="261"/>
    </row>
    <row r="607">
      <c r="A607" s="258"/>
      <c r="C607" s="131"/>
      <c r="D607" s="259"/>
      <c r="E607" s="260"/>
      <c r="F607" s="261"/>
    </row>
    <row r="608">
      <c r="A608" s="258"/>
      <c r="C608" s="131"/>
      <c r="D608" s="259"/>
      <c r="E608" s="260"/>
      <c r="F608" s="261"/>
    </row>
    <row r="609">
      <c r="A609" s="258"/>
      <c r="C609" s="131"/>
      <c r="D609" s="259"/>
      <c r="E609" s="260"/>
      <c r="F609" s="261"/>
    </row>
    <row r="610">
      <c r="A610" s="258"/>
      <c r="C610" s="131"/>
      <c r="D610" s="259"/>
      <c r="E610" s="260"/>
      <c r="F610" s="261"/>
    </row>
    <row r="611">
      <c r="A611" s="258"/>
      <c r="C611" s="131"/>
      <c r="D611" s="259"/>
      <c r="E611" s="260"/>
      <c r="F611" s="261"/>
    </row>
    <row r="612">
      <c r="A612" s="258"/>
      <c r="C612" s="131"/>
      <c r="D612" s="259"/>
      <c r="E612" s="260"/>
      <c r="F612" s="261"/>
    </row>
    <row r="613">
      <c r="A613" s="258"/>
      <c r="C613" s="131"/>
      <c r="D613" s="259"/>
      <c r="E613" s="260"/>
      <c r="F613" s="261"/>
    </row>
    <row r="614">
      <c r="A614" s="258"/>
      <c r="C614" s="131"/>
      <c r="D614" s="259"/>
      <c r="E614" s="260"/>
      <c r="F614" s="261"/>
    </row>
    <row r="615">
      <c r="A615" s="258"/>
      <c r="C615" s="131"/>
      <c r="D615" s="259"/>
      <c r="E615" s="260"/>
      <c r="F615" s="261"/>
    </row>
    <row r="616">
      <c r="A616" s="258"/>
      <c r="C616" s="131"/>
      <c r="D616" s="259"/>
      <c r="E616" s="260"/>
      <c r="F616" s="261"/>
    </row>
    <row r="617">
      <c r="A617" s="258"/>
      <c r="C617" s="131"/>
      <c r="D617" s="259"/>
      <c r="E617" s="260"/>
      <c r="F617" s="261"/>
    </row>
    <row r="618">
      <c r="A618" s="258"/>
      <c r="C618" s="131"/>
      <c r="D618" s="259"/>
      <c r="E618" s="260"/>
      <c r="F618" s="261"/>
    </row>
    <row r="619">
      <c r="A619" s="258"/>
      <c r="C619" s="131"/>
      <c r="D619" s="259"/>
      <c r="E619" s="260"/>
      <c r="F619" s="261"/>
    </row>
    <row r="620">
      <c r="A620" s="258"/>
      <c r="C620" s="131"/>
      <c r="D620" s="259"/>
      <c r="E620" s="260"/>
      <c r="F620" s="261"/>
    </row>
    <row r="621">
      <c r="A621" s="258"/>
      <c r="C621" s="131"/>
      <c r="D621" s="259"/>
      <c r="E621" s="260"/>
      <c r="F621" s="261"/>
    </row>
    <row r="622">
      <c r="A622" s="258"/>
      <c r="C622" s="131"/>
      <c r="D622" s="259"/>
      <c r="E622" s="260"/>
      <c r="F622" s="261"/>
    </row>
    <row r="623">
      <c r="A623" s="258"/>
      <c r="C623" s="131"/>
      <c r="D623" s="259"/>
      <c r="E623" s="260"/>
      <c r="F623" s="261"/>
    </row>
    <row r="624">
      <c r="A624" s="258"/>
      <c r="C624" s="131"/>
      <c r="D624" s="259"/>
      <c r="E624" s="260"/>
      <c r="F624" s="261"/>
    </row>
    <row r="625">
      <c r="A625" s="258"/>
      <c r="C625" s="131"/>
      <c r="D625" s="259"/>
      <c r="E625" s="260"/>
      <c r="F625" s="261"/>
    </row>
    <row r="626">
      <c r="A626" s="258"/>
      <c r="C626" s="131"/>
      <c r="D626" s="259"/>
      <c r="E626" s="260"/>
      <c r="F626" s="261"/>
    </row>
    <row r="627">
      <c r="A627" s="258"/>
      <c r="C627" s="131"/>
      <c r="D627" s="259"/>
      <c r="E627" s="260"/>
      <c r="F627" s="261"/>
    </row>
    <row r="628">
      <c r="A628" s="258"/>
      <c r="C628" s="131"/>
      <c r="D628" s="259"/>
      <c r="E628" s="260"/>
      <c r="F628" s="261"/>
    </row>
    <row r="629">
      <c r="A629" s="258"/>
      <c r="C629" s="131"/>
      <c r="D629" s="259"/>
      <c r="E629" s="260"/>
      <c r="F629" s="261"/>
    </row>
    <row r="630">
      <c r="A630" s="258"/>
      <c r="C630" s="131"/>
      <c r="D630" s="259"/>
      <c r="E630" s="260"/>
      <c r="F630" s="261"/>
    </row>
    <row r="631">
      <c r="A631" s="258"/>
      <c r="C631" s="131"/>
      <c r="D631" s="259"/>
      <c r="E631" s="260"/>
      <c r="F631" s="261"/>
    </row>
    <row r="632">
      <c r="A632" s="258"/>
      <c r="C632" s="131"/>
      <c r="D632" s="259"/>
      <c r="E632" s="260"/>
      <c r="F632" s="261"/>
    </row>
    <row r="633">
      <c r="A633" s="258"/>
      <c r="C633" s="131"/>
      <c r="D633" s="259"/>
      <c r="E633" s="260"/>
      <c r="F633" s="261"/>
    </row>
    <row r="634">
      <c r="A634" s="258"/>
      <c r="C634" s="131"/>
      <c r="D634" s="259"/>
      <c r="E634" s="260"/>
      <c r="F634" s="261"/>
    </row>
    <row r="635">
      <c r="A635" s="258"/>
      <c r="C635" s="131"/>
      <c r="D635" s="259"/>
      <c r="E635" s="260"/>
      <c r="F635" s="261"/>
    </row>
    <row r="636">
      <c r="A636" s="258"/>
      <c r="C636" s="131"/>
      <c r="D636" s="259"/>
      <c r="E636" s="260"/>
      <c r="F636" s="261"/>
    </row>
    <row r="637">
      <c r="A637" s="258"/>
      <c r="C637" s="131"/>
      <c r="D637" s="259"/>
      <c r="E637" s="260"/>
      <c r="F637" s="261"/>
    </row>
    <row r="638">
      <c r="A638" s="258"/>
      <c r="C638" s="131"/>
      <c r="D638" s="259"/>
      <c r="E638" s="260"/>
      <c r="F638" s="261"/>
    </row>
    <row r="639">
      <c r="A639" s="258"/>
      <c r="C639" s="131"/>
      <c r="D639" s="259"/>
      <c r="E639" s="260"/>
      <c r="F639" s="261"/>
    </row>
    <row r="640">
      <c r="A640" s="258"/>
      <c r="C640" s="131"/>
      <c r="D640" s="259"/>
      <c r="E640" s="260"/>
      <c r="F640" s="261"/>
    </row>
    <row r="641">
      <c r="A641" s="258"/>
      <c r="C641" s="131"/>
      <c r="D641" s="259"/>
      <c r="E641" s="260"/>
      <c r="F641" s="261"/>
    </row>
    <row r="642">
      <c r="A642" s="258"/>
      <c r="C642" s="131"/>
      <c r="D642" s="259"/>
      <c r="E642" s="260"/>
      <c r="F642" s="261"/>
    </row>
    <row r="643">
      <c r="A643" s="258"/>
      <c r="C643" s="131"/>
      <c r="D643" s="259"/>
      <c r="E643" s="260"/>
      <c r="F643" s="261"/>
    </row>
    <row r="644">
      <c r="A644" s="258"/>
      <c r="C644" s="131"/>
      <c r="D644" s="259"/>
      <c r="E644" s="260"/>
      <c r="F644" s="261"/>
    </row>
    <row r="645">
      <c r="A645" s="258"/>
      <c r="C645" s="131"/>
      <c r="D645" s="259"/>
      <c r="E645" s="260"/>
      <c r="F645" s="261"/>
    </row>
    <row r="646">
      <c r="A646" s="258"/>
      <c r="C646" s="131"/>
      <c r="D646" s="259"/>
      <c r="E646" s="260"/>
      <c r="F646" s="261"/>
    </row>
    <row r="647">
      <c r="A647" s="258"/>
      <c r="C647" s="131"/>
      <c r="D647" s="259"/>
      <c r="E647" s="260"/>
      <c r="F647" s="261"/>
    </row>
    <row r="648">
      <c r="A648" s="258"/>
      <c r="C648" s="131"/>
      <c r="D648" s="259"/>
      <c r="E648" s="260"/>
      <c r="F648" s="261"/>
    </row>
    <row r="649">
      <c r="A649" s="258"/>
      <c r="C649" s="131"/>
      <c r="D649" s="259"/>
      <c r="E649" s="260"/>
      <c r="F649" s="261"/>
    </row>
    <row r="650">
      <c r="A650" s="258"/>
      <c r="C650" s="131"/>
      <c r="D650" s="259"/>
      <c r="E650" s="260"/>
      <c r="F650" s="261"/>
    </row>
    <row r="651">
      <c r="A651" s="258"/>
      <c r="C651" s="131"/>
      <c r="D651" s="259"/>
      <c r="E651" s="260"/>
      <c r="F651" s="261"/>
    </row>
    <row r="652">
      <c r="A652" s="258"/>
      <c r="C652" s="131"/>
      <c r="D652" s="259"/>
      <c r="E652" s="260"/>
      <c r="F652" s="261"/>
    </row>
    <row r="653">
      <c r="A653" s="258"/>
      <c r="C653" s="131"/>
      <c r="D653" s="259"/>
      <c r="E653" s="260"/>
      <c r="F653" s="261"/>
    </row>
    <row r="654">
      <c r="A654" s="258"/>
      <c r="C654" s="131"/>
      <c r="D654" s="259"/>
      <c r="E654" s="260"/>
      <c r="F654" s="261"/>
    </row>
    <row r="655">
      <c r="A655" s="258"/>
      <c r="C655" s="131"/>
      <c r="D655" s="259"/>
      <c r="E655" s="260"/>
      <c r="F655" s="261"/>
    </row>
    <row r="656">
      <c r="A656" s="258"/>
      <c r="C656" s="131"/>
      <c r="D656" s="259"/>
      <c r="E656" s="260"/>
      <c r="F656" s="261"/>
    </row>
    <row r="657">
      <c r="A657" s="258"/>
      <c r="C657" s="131"/>
      <c r="D657" s="259"/>
      <c r="E657" s="260"/>
      <c r="F657" s="261"/>
    </row>
    <row r="658">
      <c r="A658" s="258"/>
      <c r="C658" s="131"/>
      <c r="D658" s="259"/>
      <c r="E658" s="260"/>
      <c r="F658" s="261"/>
    </row>
    <row r="659">
      <c r="A659" s="258"/>
      <c r="C659" s="131"/>
      <c r="D659" s="259"/>
      <c r="E659" s="260"/>
      <c r="F659" s="261"/>
    </row>
    <row r="660">
      <c r="A660" s="258"/>
      <c r="C660" s="131"/>
      <c r="D660" s="259"/>
      <c r="E660" s="260"/>
      <c r="F660" s="261"/>
    </row>
    <row r="661">
      <c r="A661" s="258"/>
      <c r="C661" s="131"/>
      <c r="D661" s="259"/>
      <c r="E661" s="260"/>
      <c r="F661" s="261"/>
    </row>
    <row r="662">
      <c r="A662" s="258"/>
      <c r="C662" s="131"/>
      <c r="D662" s="259"/>
      <c r="E662" s="260"/>
      <c r="F662" s="261"/>
    </row>
    <row r="663">
      <c r="A663" s="258"/>
      <c r="C663" s="131"/>
      <c r="D663" s="259"/>
      <c r="E663" s="260"/>
      <c r="F663" s="261"/>
    </row>
    <row r="664">
      <c r="A664" s="258"/>
      <c r="C664" s="131"/>
      <c r="D664" s="259"/>
      <c r="E664" s="260"/>
      <c r="F664" s="261"/>
    </row>
    <row r="665">
      <c r="A665" s="258"/>
      <c r="C665" s="131"/>
      <c r="D665" s="259"/>
      <c r="E665" s="260"/>
      <c r="F665" s="261"/>
    </row>
    <row r="666">
      <c r="A666" s="258"/>
      <c r="C666" s="131"/>
      <c r="D666" s="259"/>
      <c r="E666" s="260"/>
      <c r="F666" s="261"/>
    </row>
    <row r="667">
      <c r="A667" s="258"/>
      <c r="C667" s="131"/>
      <c r="D667" s="259"/>
      <c r="E667" s="260"/>
      <c r="F667" s="261"/>
    </row>
    <row r="668">
      <c r="A668" s="258"/>
      <c r="C668" s="131"/>
      <c r="D668" s="259"/>
      <c r="E668" s="260"/>
      <c r="F668" s="261"/>
    </row>
    <row r="669">
      <c r="A669" s="258"/>
      <c r="C669" s="131"/>
      <c r="D669" s="259"/>
      <c r="E669" s="260"/>
      <c r="F669" s="261"/>
    </row>
    <row r="670">
      <c r="A670" s="258"/>
      <c r="C670" s="131"/>
      <c r="D670" s="259"/>
      <c r="E670" s="260"/>
      <c r="F670" s="261"/>
    </row>
    <row r="671">
      <c r="A671" s="258"/>
      <c r="C671" s="131"/>
      <c r="D671" s="259"/>
      <c r="E671" s="260"/>
      <c r="F671" s="261"/>
    </row>
    <row r="672">
      <c r="A672" s="258"/>
      <c r="C672" s="131"/>
      <c r="D672" s="259"/>
      <c r="E672" s="260"/>
      <c r="F672" s="261"/>
    </row>
    <row r="673">
      <c r="A673" s="258"/>
      <c r="C673" s="131"/>
      <c r="D673" s="259"/>
      <c r="E673" s="260"/>
      <c r="F673" s="261"/>
    </row>
    <row r="674">
      <c r="A674" s="258"/>
      <c r="C674" s="131"/>
      <c r="D674" s="259"/>
      <c r="E674" s="260"/>
      <c r="F674" s="261"/>
    </row>
    <row r="675">
      <c r="A675" s="258"/>
      <c r="C675" s="131"/>
      <c r="D675" s="259"/>
      <c r="E675" s="260"/>
      <c r="F675" s="261"/>
    </row>
    <row r="676">
      <c r="A676" s="258"/>
      <c r="C676" s="131"/>
      <c r="D676" s="259"/>
      <c r="E676" s="260"/>
      <c r="F676" s="261"/>
    </row>
    <row r="677">
      <c r="A677" s="258"/>
      <c r="C677" s="131"/>
      <c r="D677" s="259"/>
      <c r="E677" s="260"/>
      <c r="F677" s="261"/>
    </row>
    <row r="678">
      <c r="A678" s="258"/>
      <c r="C678" s="131"/>
      <c r="D678" s="259"/>
      <c r="E678" s="260"/>
      <c r="F678" s="261"/>
    </row>
    <row r="679">
      <c r="A679" s="258"/>
      <c r="C679" s="131"/>
      <c r="D679" s="259"/>
      <c r="E679" s="260"/>
      <c r="F679" s="261"/>
    </row>
    <row r="680">
      <c r="A680" s="258"/>
      <c r="C680" s="131"/>
      <c r="D680" s="259"/>
      <c r="E680" s="260"/>
      <c r="F680" s="261"/>
    </row>
    <row r="681">
      <c r="A681" s="258"/>
      <c r="C681" s="131"/>
      <c r="D681" s="259"/>
      <c r="E681" s="260"/>
      <c r="F681" s="261"/>
    </row>
    <row r="682">
      <c r="A682" s="258"/>
      <c r="C682" s="131"/>
      <c r="D682" s="259"/>
      <c r="E682" s="260"/>
      <c r="F682" s="261"/>
    </row>
    <row r="683">
      <c r="A683" s="258"/>
      <c r="C683" s="131"/>
      <c r="D683" s="259"/>
      <c r="E683" s="260"/>
      <c r="F683" s="261"/>
    </row>
    <row r="684">
      <c r="A684" s="258"/>
      <c r="C684" s="131"/>
      <c r="D684" s="259"/>
      <c r="E684" s="260"/>
      <c r="F684" s="261"/>
    </row>
    <row r="685">
      <c r="A685" s="258"/>
      <c r="C685" s="131"/>
      <c r="D685" s="259"/>
      <c r="E685" s="260"/>
      <c r="F685" s="261"/>
    </row>
    <row r="686">
      <c r="A686" s="258"/>
      <c r="C686" s="131"/>
      <c r="D686" s="259"/>
      <c r="E686" s="260"/>
      <c r="F686" s="261"/>
    </row>
    <row r="687">
      <c r="A687" s="258"/>
      <c r="C687" s="131"/>
      <c r="D687" s="259"/>
      <c r="E687" s="260"/>
      <c r="F687" s="261"/>
    </row>
    <row r="688">
      <c r="A688" s="258"/>
      <c r="C688" s="131"/>
      <c r="D688" s="259"/>
      <c r="E688" s="260"/>
      <c r="F688" s="261"/>
    </row>
    <row r="689">
      <c r="A689" s="258"/>
      <c r="C689" s="131"/>
      <c r="D689" s="259"/>
      <c r="E689" s="260"/>
      <c r="F689" s="261"/>
    </row>
    <row r="690">
      <c r="A690" s="258"/>
      <c r="C690" s="131"/>
      <c r="D690" s="259"/>
      <c r="E690" s="260"/>
      <c r="F690" s="261"/>
    </row>
    <row r="691">
      <c r="A691" s="258"/>
      <c r="C691" s="131"/>
      <c r="D691" s="259"/>
      <c r="E691" s="260"/>
      <c r="F691" s="261"/>
    </row>
    <row r="692">
      <c r="A692" s="258"/>
      <c r="C692" s="131"/>
      <c r="D692" s="259"/>
      <c r="E692" s="260"/>
      <c r="F692" s="261"/>
    </row>
    <row r="693">
      <c r="A693" s="258"/>
      <c r="C693" s="131"/>
      <c r="D693" s="259"/>
      <c r="E693" s="260"/>
      <c r="F693" s="261"/>
    </row>
    <row r="694">
      <c r="A694" s="258"/>
      <c r="C694" s="131"/>
      <c r="D694" s="259"/>
      <c r="E694" s="260"/>
      <c r="F694" s="261"/>
    </row>
    <row r="695">
      <c r="A695" s="258"/>
      <c r="C695" s="131"/>
      <c r="D695" s="259"/>
      <c r="E695" s="260"/>
      <c r="F695" s="261"/>
    </row>
    <row r="696">
      <c r="A696" s="258"/>
      <c r="C696" s="131"/>
      <c r="D696" s="259"/>
      <c r="E696" s="260"/>
      <c r="F696" s="261"/>
    </row>
    <row r="697">
      <c r="A697" s="258"/>
      <c r="C697" s="131"/>
      <c r="D697" s="259"/>
      <c r="E697" s="260"/>
      <c r="F697" s="261"/>
    </row>
    <row r="698">
      <c r="A698" s="258"/>
      <c r="C698" s="131"/>
      <c r="D698" s="259"/>
      <c r="E698" s="260"/>
      <c r="F698" s="261"/>
    </row>
    <row r="699">
      <c r="A699" s="258"/>
      <c r="C699" s="131"/>
      <c r="D699" s="259"/>
      <c r="E699" s="260"/>
      <c r="F699" s="261"/>
    </row>
    <row r="700">
      <c r="A700" s="258"/>
      <c r="C700" s="131"/>
      <c r="D700" s="259"/>
      <c r="E700" s="260"/>
      <c r="F700" s="261"/>
    </row>
    <row r="701">
      <c r="A701" s="258"/>
      <c r="C701" s="131"/>
      <c r="D701" s="259"/>
      <c r="E701" s="260"/>
      <c r="F701" s="261"/>
    </row>
    <row r="702">
      <c r="A702" s="258"/>
      <c r="C702" s="131"/>
      <c r="D702" s="259"/>
      <c r="E702" s="260"/>
      <c r="F702" s="261"/>
    </row>
    <row r="703">
      <c r="A703" s="258"/>
      <c r="C703" s="131"/>
      <c r="D703" s="259"/>
      <c r="E703" s="260"/>
      <c r="F703" s="261"/>
    </row>
    <row r="704">
      <c r="A704" s="258"/>
      <c r="C704" s="131"/>
      <c r="D704" s="259"/>
      <c r="E704" s="260"/>
      <c r="F704" s="261"/>
    </row>
    <row r="705">
      <c r="A705" s="258"/>
      <c r="C705" s="131"/>
      <c r="D705" s="259"/>
      <c r="E705" s="260"/>
      <c r="F705" s="261"/>
    </row>
    <row r="706">
      <c r="A706" s="258"/>
      <c r="C706" s="131"/>
      <c r="D706" s="259"/>
      <c r="E706" s="260"/>
      <c r="F706" s="261"/>
    </row>
    <row r="707">
      <c r="A707" s="258"/>
      <c r="C707" s="131"/>
      <c r="D707" s="259"/>
      <c r="E707" s="260"/>
      <c r="F707" s="261"/>
    </row>
    <row r="708">
      <c r="A708" s="258"/>
      <c r="C708" s="131"/>
      <c r="D708" s="259"/>
      <c r="E708" s="260"/>
      <c r="F708" s="261"/>
    </row>
    <row r="709">
      <c r="A709" s="258"/>
      <c r="C709" s="131"/>
      <c r="D709" s="259"/>
      <c r="E709" s="260"/>
      <c r="F709" s="261"/>
    </row>
    <row r="710">
      <c r="A710" s="258"/>
      <c r="C710" s="131"/>
      <c r="D710" s="259"/>
      <c r="E710" s="260"/>
      <c r="F710" s="261"/>
    </row>
    <row r="711">
      <c r="A711" s="258"/>
      <c r="C711" s="131"/>
      <c r="D711" s="259"/>
      <c r="E711" s="260"/>
      <c r="F711" s="261"/>
    </row>
    <row r="712">
      <c r="A712" s="258"/>
      <c r="C712" s="131"/>
      <c r="D712" s="259"/>
      <c r="E712" s="260"/>
      <c r="F712" s="261"/>
    </row>
    <row r="713">
      <c r="A713" s="258"/>
      <c r="C713" s="131"/>
      <c r="D713" s="259"/>
      <c r="E713" s="260"/>
      <c r="F713" s="261"/>
    </row>
    <row r="714">
      <c r="A714" s="258"/>
      <c r="C714" s="131"/>
      <c r="D714" s="259"/>
      <c r="E714" s="260"/>
      <c r="F714" s="261"/>
    </row>
    <row r="715">
      <c r="A715" s="258"/>
      <c r="C715" s="131"/>
      <c r="D715" s="259"/>
      <c r="E715" s="260"/>
      <c r="F715" s="261"/>
    </row>
    <row r="716">
      <c r="A716" s="258"/>
      <c r="C716" s="131"/>
      <c r="D716" s="259"/>
      <c r="E716" s="260"/>
      <c r="F716" s="261"/>
    </row>
    <row r="717">
      <c r="A717" s="258"/>
      <c r="C717" s="131"/>
      <c r="D717" s="259"/>
      <c r="E717" s="260"/>
      <c r="F717" s="261"/>
    </row>
    <row r="718">
      <c r="A718" s="258"/>
      <c r="C718" s="131"/>
      <c r="D718" s="259"/>
      <c r="E718" s="260"/>
      <c r="F718" s="261"/>
    </row>
    <row r="719">
      <c r="A719" s="258"/>
      <c r="C719" s="131"/>
      <c r="D719" s="259"/>
      <c r="E719" s="260"/>
      <c r="F719" s="261"/>
    </row>
    <row r="720">
      <c r="A720" s="258"/>
      <c r="C720" s="131"/>
      <c r="D720" s="259"/>
      <c r="E720" s="260"/>
      <c r="F720" s="261"/>
    </row>
    <row r="721">
      <c r="A721" s="258"/>
      <c r="C721" s="131"/>
      <c r="D721" s="259"/>
      <c r="E721" s="260"/>
      <c r="F721" s="261"/>
    </row>
    <row r="722">
      <c r="A722" s="258"/>
      <c r="C722" s="131"/>
      <c r="D722" s="259"/>
      <c r="E722" s="260"/>
      <c r="F722" s="261"/>
    </row>
    <row r="723">
      <c r="A723" s="258"/>
      <c r="C723" s="131"/>
      <c r="D723" s="259"/>
      <c r="E723" s="260"/>
      <c r="F723" s="261"/>
    </row>
    <row r="724">
      <c r="A724" s="258"/>
      <c r="C724" s="131"/>
      <c r="D724" s="259"/>
      <c r="E724" s="260"/>
      <c r="F724" s="261"/>
    </row>
    <row r="725">
      <c r="A725" s="258"/>
      <c r="C725" s="131"/>
      <c r="D725" s="259"/>
      <c r="E725" s="260"/>
      <c r="F725" s="261"/>
    </row>
    <row r="726">
      <c r="A726" s="258"/>
      <c r="C726" s="131"/>
      <c r="D726" s="259"/>
      <c r="E726" s="260"/>
      <c r="F726" s="261"/>
    </row>
    <row r="727">
      <c r="A727" s="258"/>
      <c r="C727" s="131"/>
      <c r="D727" s="259"/>
      <c r="E727" s="260"/>
      <c r="F727" s="261"/>
    </row>
    <row r="728">
      <c r="A728" s="258"/>
      <c r="C728" s="131"/>
      <c r="D728" s="259"/>
      <c r="E728" s="260"/>
      <c r="F728" s="261"/>
    </row>
    <row r="729">
      <c r="A729" s="258"/>
      <c r="C729" s="131"/>
      <c r="D729" s="259"/>
      <c r="E729" s="260"/>
      <c r="F729" s="261"/>
    </row>
    <row r="730">
      <c r="A730" s="258"/>
      <c r="C730" s="131"/>
      <c r="D730" s="259"/>
      <c r="E730" s="260"/>
      <c r="F730" s="261"/>
    </row>
    <row r="731">
      <c r="A731" s="258"/>
      <c r="C731" s="131"/>
      <c r="D731" s="259"/>
      <c r="E731" s="260"/>
      <c r="F731" s="261"/>
    </row>
    <row r="732">
      <c r="A732" s="258"/>
      <c r="C732" s="131"/>
      <c r="D732" s="259"/>
      <c r="E732" s="260"/>
      <c r="F732" s="261"/>
    </row>
    <row r="733">
      <c r="A733" s="258"/>
      <c r="C733" s="131"/>
      <c r="D733" s="259"/>
      <c r="E733" s="260"/>
      <c r="F733" s="261"/>
    </row>
    <row r="734">
      <c r="A734" s="258"/>
      <c r="C734" s="131"/>
      <c r="D734" s="259"/>
      <c r="E734" s="260"/>
      <c r="F734" s="261"/>
    </row>
    <row r="735">
      <c r="A735" s="258"/>
      <c r="C735" s="131"/>
      <c r="D735" s="259"/>
      <c r="E735" s="260"/>
      <c r="F735" s="261"/>
    </row>
    <row r="736">
      <c r="A736" s="258"/>
      <c r="C736" s="131"/>
      <c r="D736" s="259"/>
      <c r="E736" s="260"/>
      <c r="F736" s="261"/>
    </row>
    <row r="737">
      <c r="A737" s="258"/>
      <c r="C737" s="131"/>
      <c r="D737" s="259"/>
      <c r="E737" s="260"/>
      <c r="F737" s="261"/>
    </row>
    <row r="738">
      <c r="A738" s="258"/>
      <c r="C738" s="131"/>
      <c r="D738" s="259"/>
      <c r="E738" s="260"/>
      <c r="F738" s="261"/>
    </row>
    <row r="739">
      <c r="A739" s="258"/>
      <c r="C739" s="131"/>
      <c r="D739" s="259"/>
      <c r="E739" s="260"/>
      <c r="F739" s="261"/>
    </row>
    <row r="740">
      <c r="A740" s="258"/>
      <c r="C740" s="131"/>
      <c r="D740" s="259"/>
      <c r="E740" s="260"/>
      <c r="F740" s="261"/>
    </row>
    <row r="741">
      <c r="A741" s="258"/>
      <c r="C741" s="131"/>
      <c r="D741" s="259"/>
      <c r="E741" s="260"/>
      <c r="F741" s="261"/>
    </row>
    <row r="742">
      <c r="A742" s="258"/>
      <c r="C742" s="131"/>
      <c r="D742" s="259"/>
      <c r="E742" s="260"/>
      <c r="F742" s="261"/>
    </row>
    <row r="743">
      <c r="A743" s="258"/>
      <c r="C743" s="131"/>
      <c r="D743" s="259"/>
      <c r="E743" s="260"/>
      <c r="F743" s="261"/>
    </row>
    <row r="744">
      <c r="A744" s="258"/>
      <c r="C744" s="131"/>
      <c r="D744" s="259"/>
      <c r="E744" s="260"/>
      <c r="F744" s="261"/>
    </row>
    <row r="745">
      <c r="A745" s="258"/>
      <c r="C745" s="131"/>
      <c r="D745" s="259"/>
      <c r="E745" s="260"/>
      <c r="F745" s="261"/>
    </row>
    <row r="746">
      <c r="A746" s="258"/>
      <c r="C746" s="131"/>
      <c r="D746" s="259"/>
      <c r="E746" s="260"/>
      <c r="F746" s="261"/>
    </row>
    <row r="747">
      <c r="A747" s="258"/>
      <c r="C747" s="131"/>
      <c r="D747" s="259"/>
      <c r="E747" s="260"/>
      <c r="F747" s="261"/>
    </row>
    <row r="748">
      <c r="A748" s="258"/>
      <c r="C748" s="131"/>
      <c r="D748" s="259"/>
      <c r="E748" s="260"/>
      <c r="F748" s="261"/>
    </row>
    <row r="749">
      <c r="A749" s="258"/>
      <c r="C749" s="131"/>
      <c r="D749" s="259"/>
      <c r="E749" s="260"/>
      <c r="F749" s="261"/>
    </row>
    <row r="750">
      <c r="A750" s="258"/>
      <c r="C750" s="131"/>
      <c r="D750" s="259"/>
      <c r="E750" s="260"/>
      <c r="F750" s="261"/>
    </row>
    <row r="751">
      <c r="A751" s="258"/>
      <c r="C751" s="131"/>
      <c r="D751" s="259"/>
      <c r="E751" s="260"/>
      <c r="F751" s="261"/>
    </row>
    <row r="752">
      <c r="A752" s="258"/>
      <c r="C752" s="131"/>
      <c r="D752" s="259"/>
      <c r="E752" s="260"/>
      <c r="F752" s="261"/>
    </row>
    <row r="753">
      <c r="A753" s="258"/>
      <c r="C753" s="131"/>
      <c r="D753" s="259"/>
      <c r="E753" s="260"/>
      <c r="F753" s="261"/>
    </row>
    <row r="754">
      <c r="A754" s="258"/>
      <c r="C754" s="131"/>
      <c r="D754" s="259"/>
      <c r="E754" s="260"/>
      <c r="F754" s="261"/>
    </row>
    <row r="755">
      <c r="A755" s="258"/>
      <c r="C755" s="131"/>
      <c r="D755" s="259"/>
      <c r="E755" s="260"/>
      <c r="F755" s="261"/>
    </row>
    <row r="756">
      <c r="A756" s="258"/>
      <c r="C756" s="131"/>
      <c r="D756" s="259"/>
      <c r="E756" s="260"/>
      <c r="F756" s="261"/>
    </row>
    <row r="757">
      <c r="A757" s="258"/>
      <c r="C757" s="131"/>
      <c r="D757" s="259"/>
      <c r="E757" s="260"/>
      <c r="F757" s="261"/>
    </row>
    <row r="758">
      <c r="A758" s="258"/>
      <c r="C758" s="131"/>
      <c r="D758" s="259"/>
      <c r="E758" s="260"/>
      <c r="F758" s="261"/>
    </row>
    <row r="759">
      <c r="A759" s="258"/>
      <c r="C759" s="131"/>
      <c r="D759" s="259"/>
      <c r="E759" s="260"/>
      <c r="F759" s="261"/>
    </row>
    <row r="760">
      <c r="A760" s="258"/>
      <c r="C760" s="131"/>
      <c r="D760" s="259"/>
      <c r="E760" s="260"/>
      <c r="F760" s="261"/>
    </row>
    <row r="761">
      <c r="A761" s="258"/>
      <c r="C761" s="131"/>
      <c r="D761" s="259"/>
      <c r="E761" s="260"/>
      <c r="F761" s="261"/>
    </row>
    <row r="762">
      <c r="A762" s="258"/>
      <c r="C762" s="131"/>
      <c r="D762" s="259"/>
      <c r="E762" s="260"/>
      <c r="F762" s="261"/>
    </row>
    <row r="763">
      <c r="A763" s="258"/>
      <c r="C763" s="131"/>
      <c r="D763" s="259"/>
      <c r="E763" s="260"/>
      <c r="F763" s="261"/>
    </row>
    <row r="764">
      <c r="A764" s="258"/>
      <c r="C764" s="131"/>
      <c r="D764" s="259"/>
      <c r="E764" s="260"/>
      <c r="F764" s="261"/>
    </row>
    <row r="765">
      <c r="A765" s="258"/>
      <c r="C765" s="131"/>
      <c r="D765" s="259"/>
      <c r="E765" s="260"/>
      <c r="F765" s="261"/>
    </row>
    <row r="766">
      <c r="A766" s="258"/>
      <c r="C766" s="131"/>
      <c r="D766" s="259"/>
      <c r="E766" s="260"/>
      <c r="F766" s="261"/>
    </row>
    <row r="767">
      <c r="A767" s="258"/>
      <c r="C767" s="131"/>
      <c r="D767" s="259"/>
      <c r="E767" s="260"/>
      <c r="F767" s="261"/>
    </row>
    <row r="768">
      <c r="A768" s="258"/>
      <c r="C768" s="131"/>
      <c r="D768" s="259"/>
      <c r="E768" s="260"/>
      <c r="F768" s="261"/>
    </row>
    <row r="769">
      <c r="A769" s="258"/>
      <c r="C769" s="131"/>
      <c r="D769" s="259"/>
      <c r="E769" s="260"/>
      <c r="F769" s="261"/>
    </row>
    <row r="770">
      <c r="A770" s="258"/>
      <c r="C770" s="131"/>
      <c r="D770" s="259"/>
      <c r="E770" s="260"/>
      <c r="F770" s="261"/>
    </row>
    <row r="771">
      <c r="A771" s="258"/>
      <c r="C771" s="131"/>
      <c r="D771" s="259"/>
      <c r="E771" s="260"/>
      <c r="F771" s="261"/>
    </row>
    <row r="772">
      <c r="A772" s="258"/>
      <c r="C772" s="131"/>
      <c r="D772" s="259"/>
      <c r="E772" s="260"/>
      <c r="F772" s="261"/>
    </row>
    <row r="773">
      <c r="A773" s="258"/>
      <c r="C773" s="131"/>
      <c r="D773" s="259"/>
      <c r="E773" s="260"/>
      <c r="F773" s="261"/>
    </row>
    <row r="774">
      <c r="A774" s="258"/>
      <c r="C774" s="131"/>
      <c r="D774" s="259"/>
      <c r="E774" s="260"/>
      <c r="F774" s="261"/>
    </row>
    <row r="775">
      <c r="A775" s="258"/>
      <c r="C775" s="131"/>
      <c r="D775" s="259"/>
      <c r="E775" s="260"/>
      <c r="F775" s="261"/>
    </row>
    <row r="776">
      <c r="A776" s="258"/>
      <c r="C776" s="131"/>
      <c r="D776" s="259"/>
      <c r="E776" s="260"/>
      <c r="F776" s="261"/>
    </row>
    <row r="777">
      <c r="A777" s="258"/>
      <c r="C777" s="131"/>
      <c r="D777" s="259"/>
      <c r="E777" s="260"/>
      <c r="F777" s="261"/>
    </row>
    <row r="778">
      <c r="A778" s="258"/>
      <c r="C778" s="131"/>
      <c r="D778" s="259"/>
      <c r="E778" s="260"/>
      <c r="F778" s="261"/>
    </row>
    <row r="779">
      <c r="A779" s="258"/>
      <c r="C779" s="131"/>
      <c r="D779" s="259"/>
      <c r="E779" s="260"/>
      <c r="F779" s="261"/>
    </row>
    <row r="780">
      <c r="A780" s="258"/>
      <c r="C780" s="131"/>
      <c r="D780" s="259"/>
      <c r="E780" s="260"/>
      <c r="F780" s="261"/>
    </row>
    <row r="781">
      <c r="A781" s="258"/>
      <c r="C781" s="131"/>
      <c r="D781" s="259"/>
      <c r="E781" s="260"/>
      <c r="F781" s="261"/>
    </row>
    <row r="782">
      <c r="A782" s="258"/>
      <c r="C782" s="131"/>
      <c r="D782" s="259"/>
      <c r="E782" s="260"/>
      <c r="F782" s="261"/>
    </row>
    <row r="783">
      <c r="A783" s="258"/>
      <c r="C783" s="131"/>
      <c r="D783" s="259"/>
      <c r="E783" s="260"/>
      <c r="F783" s="261"/>
    </row>
    <row r="784">
      <c r="A784" s="258"/>
      <c r="C784" s="131"/>
      <c r="D784" s="259"/>
      <c r="E784" s="260"/>
      <c r="F784" s="261"/>
    </row>
    <row r="785">
      <c r="A785" s="258"/>
      <c r="C785" s="131"/>
      <c r="D785" s="259"/>
      <c r="E785" s="260"/>
      <c r="F785" s="261"/>
    </row>
    <row r="786">
      <c r="A786" s="258"/>
      <c r="C786" s="131"/>
      <c r="D786" s="259"/>
      <c r="E786" s="260"/>
      <c r="F786" s="261"/>
    </row>
    <row r="787">
      <c r="A787" s="258"/>
      <c r="C787" s="131"/>
      <c r="D787" s="259"/>
      <c r="E787" s="260"/>
      <c r="F787" s="261"/>
    </row>
    <row r="788">
      <c r="A788" s="258"/>
      <c r="C788" s="131"/>
      <c r="D788" s="259"/>
      <c r="E788" s="260"/>
      <c r="F788" s="261"/>
    </row>
    <row r="789">
      <c r="A789" s="258"/>
      <c r="C789" s="131"/>
      <c r="D789" s="259"/>
      <c r="E789" s="260"/>
      <c r="F789" s="261"/>
    </row>
    <row r="790">
      <c r="A790" s="258"/>
      <c r="C790" s="131"/>
      <c r="D790" s="259"/>
      <c r="E790" s="260"/>
      <c r="F790" s="261"/>
    </row>
    <row r="791">
      <c r="A791" s="258"/>
      <c r="C791" s="131"/>
      <c r="D791" s="259"/>
      <c r="E791" s="260"/>
      <c r="F791" s="261"/>
    </row>
    <row r="792">
      <c r="A792" s="258"/>
      <c r="C792" s="131"/>
      <c r="D792" s="259"/>
      <c r="E792" s="260"/>
      <c r="F792" s="261"/>
    </row>
    <row r="793">
      <c r="A793" s="258"/>
      <c r="C793" s="131"/>
      <c r="D793" s="259"/>
      <c r="E793" s="260"/>
      <c r="F793" s="261"/>
    </row>
    <row r="794">
      <c r="A794" s="258"/>
      <c r="C794" s="131"/>
      <c r="D794" s="259"/>
      <c r="E794" s="260"/>
      <c r="F794" s="261"/>
    </row>
    <row r="795">
      <c r="A795" s="258"/>
      <c r="C795" s="131"/>
      <c r="D795" s="259"/>
      <c r="E795" s="260"/>
      <c r="F795" s="261"/>
    </row>
    <row r="796">
      <c r="A796" s="258"/>
      <c r="C796" s="131"/>
      <c r="D796" s="259"/>
      <c r="E796" s="260"/>
      <c r="F796" s="261"/>
    </row>
    <row r="797">
      <c r="A797" s="258"/>
      <c r="C797" s="131"/>
      <c r="D797" s="259"/>
      <c r="E797" s="260"/>
      <c r="F797" s="261"/>
    </row>
    <row r="798">
      <c r="A798" s="258"/>
      <c r="C798" s="131"/>
      <c r="D798" s="259"/>
      <c r="E798" s="260"/>
      <c r="F798" s="261"/>
    </row>
    <row r="799">
      <c r="A799" s="258"/>
      <c r="C799" s="131"/>
      <c r="D799" s="259"/>
      <c r="E799" s="260"/>
      <c r="F799" s="261"/>
    </row>
    <row r="800">
      <c r="A800" s="258"/>
      <c r="C800" s="131"/>
      <c r="D800" s="259"/>
      <c r="E800" s="260"/>
      <c r="F800" s="261"/>
    </row>
    <row r="801">
      <c r="A801" s="258"/>
      <c r="C801" s="131"/>
      <c r="D801" s="259"/>
      <c r="E801" s="260"/>
      <c r="F801" s="261"/>
    </row>
    <row r="802">
      <c r="A802" s="258"/>
      <c r="C802" s="131"/>
      <c r="D802" s="259"/>
      <c r="E802" s="260"/>
      <c r="F802" s="261"/>
    </row>
    <row r="803">
      <c r="A803" s="258"/>
      <c r="C803" s="131"/>
      <c r="D803" s="259"/>
      <c r="E803" s="260"/>
      <c r="F803" s="261"/>
    </row>
    <row r="804">
      <c r="A804" s="258"/>
      <c r="C804" s="131"/>
      <c r="D804" s="259"/>
      <c r="E804" s="260"/>
      <c r="F804" s="261"/>
    </row>
    <row r="805">
      <c r="A805" s="258"/>
      <c r="C805" s="131"/>
      <c r="D805" s="259"/>
      <c r="E805" s="260"/>
      <c r="F805" s="261"/>
    </row>
    <row r="806">
      <c r="A806" s="258"/>
      <c r="C806" s="131"/>
      <c r="D806" s="259"/>
      <c r="E806" s="260"/>
      <c r="F806" s="261"/>
    </row>
    <row r="807">
      <c r="A807" s="258"/>
      <c r="C807" s="131"/>
      <c r="D807" s="259"/>
      <c r="E807" s="260"/>
      <c r="F807" s="261"/>
    </row>
    <row r="808">
      <c r="A808" s="258"/>
      <c r="C808" s="131"/>
      <c r="D808" s="259"/>
      <c r="E808" s="260"/>
      <c r="F808" s="261"/>
    </row>
    <row r="809">
      <c r="A809" s="258"/>
      <c r="C809" s="131"/>
      <c r="D809" s="259"/>
      <c r="E809" s="260"/>
      <c r="F809" s="261"/>
    </row>
    <row r="810">
      <c r="A810" s="258"/>
      <c r="C810" s="131"/>
      <c r="D810" s="259"/>
      <c r="E810" s="260"/>
      <c r="F810" s="261"/>
    </row>
    <row r="811">
      <c r="A811" s="258"/>
      <c r="C811" s="131"/>
      <c r="D811" s="259"/>
      <c r="E811" s="260"/>
      <c r="F811" s="261"/>
    </row>
    <row r="812">
      <c r="A812" s="258"/>
      <c r="C812" s="131"/>
      <c r="D812" s="259"/>
      <c r="E812" s="260"/>
      <c r="F812" s="261"/>
    </row>
    <row r="813">
      <c r="A813" s="258"/>
      <c r="C813" s="131"/>
      <c r="D813" s="259"/>
      <c r="E813" s="260"/>
      <c r="F813" s="261"/>
    </row>
    <row r="814">
      <c r="A814" s="258"/>
      <c r="C814" s="131"/>
      <c r="D814" s="259"/>
      <c r="E814" s="260"/>
      <c r="F814" s="261"/>
    </row>
    <row r="815">
      <c r="A815" s="258"/>
      <c r="C815" s="131"/>
      <c r="D815" s="259"/>
      <c r="E815" s="260"/>
      <c r="F815" s="261"/>
    </row>
    <row r="816">
      <c r="A816" s="258"/>
      <c r="C816" s="131"/>
      <c r="D816" s="259"/>
      <c r="E816" s="260"/>
      <c r="F816" s="261"/>
    </row>
    <row r="817">
      <c r="A817" s="258"/>
      <c r="C817" s="131"/>
      <c r="D817" s="259"/>
      <c r="E817" s="260"/>
      <c r="F817" s="261"/>
    </row>
    <row r="818">
      <c r="A818" s="258"/>
      <c r="C818" s="131"/>
      <c r="D818" s="259"/>
      <c r="E818" s="260"/>
      <c r="F818" s="261"/>
    </row>
    <row r="819">
      <c r="A819" s="258"/>
      <c r="C819" s="131"/>
      <c r="D819" s="259"/>
      <c r="E819" s="260"/>
      <c r="F819" s="261"/>
    </row>
    <row r="820">
      <c r="A820" s="258"/>
      <c r="C820" s="131"/>
      <c r="D820" s="259"/>
      <c r="E820" s="260"/>
      <c r="F820" s="261"/>
    </row>
    <row r="821">
      <c r="A821" s="258"/>
      <c r="C821" s="131"/>
      <c r="D821" s="259"/>
      <c r="E821" s="260"/>
      <c r="F821" s="261"/>
    </row>
    <row r="822">
      <c r="A822" s="258"/>
      <c r="C822" s="131"/>
      <c r="D822" s="259"/>
      <c r="E822" s="260"/>
      <c r="F822" s="261"/>
    </row>
    <row r="823">
      <c r="A823" s="258"/>
      <c r="C823" s="131"/>
      <c r="D823" s="259"/>
      <c r="E823" s="260"/>
      <c r="F823" s="261"/>
    </row>
    <row r="824">
      <c r="A824" s="258"/>
      <c r="C824" s="131"/>
      <c r="D824" s="259"/>
      <c r="E824" s="260"/>
      <c r="F824" s="261"/>
    </row>
    <row r="825">
      <c r="A825" s="258"/>
      <c r="C825" s="131"/>
      <c r="D825" s="259"/>
      <c r="E825" s="260"/>
      <c r="F825" s="261"/>
    </row>
    <row r="826">
      <c r="A826" s="258"/>
      <c r="C826" s="131"/>
      <c r="D826" s="259"/>
      <c r="E826" s="260"/>
      <c r="F826" s="261"/>
    </row>
    <row r="827">
      <c r="A827" s="258"/>
      <c r="C827" s="131"/>
      <c r="D827" s="259"/>
      <c r="E827" s="260"/>
      <c r="F827" s="261"/>
    </row>
    <row r="828">
      <c r="A828" s="258"/>
      <c r="C828" s="131"/>
      <c r="D828" s="259"/>
      <c r="E828" s="260"/>
      <c r="F828" s="261"/>
    </row>
    <row r="829">
      <c r="A829" s="258"/>
      <c r="C829" s="131"/>
      <c r="D829" s="259"/>
      <c r="E829" s="260"/>
      <c r="F829" s="261"/>
    </row>
    <row r="830">
      <c r="A830" s="258"/>
      <c r="C830" s="131"/>
      <c r="D830" s="259"/>
      <c r="E830" s="260"/>
      <c r="F830" s="261"/>
    </row>
    <row r="831">
      <c r="A831" s="258"/>
      <c r="C831" s="131"/>
      <c r="D831" s="259"/>
      <c r="E831" s="260"/>
      <c r="F831" s="261"/>
    </row>
    <row r="832">
      <c r="A832" s="258"/>
      <c r="C832" s="131"/>
      <c r="D832" s="259"/>
      <c r="E832" s="260"/>
      <c r="F832" s="261"/>
    </row>
    <row r="833">
      <c r="A833" s="258"/>
      <c r="C833" s="131"/>
      <c r="D833" s="259"/>
      <c r="E833" s="260"/>
      <c r="F833" s="261"/>
    </row>
    <row r="834">
      <c r="A834" s="258"/>
      <c r="C834" s="131"/>
      <c r="D834" s="259"/>
      <c r="E834" s="260"/>
      <c r="F834" s="261"/>
    </row>
    <row r="835">
      <c r="A835" s="258"/>
      <c r="C835" s="131"/>
      <c r="D835" s="259"/>
      <c r="E835" s="260"/>
      <c r="F835" s="261"/>
    </row>
    <row r="836">
      <c r="A836" s="258"/>
      <c r="C836" s="131"/>
      <c r="D836" s="259"/>
      <c r="E836" s="260"/>
      <c r="F836" s="261"/>
    </row>
    <row r="837">
      <c r="A837" s="258"/>
      <c r="C837" s="131"/>
      <c r="D837" s="259"/>
      <c r="E837" s="260"/>
      <c r="F837" s="261"/>
    </row>
    <row r="838">
      <c r="A838" s="258"/>
      <c r="C838" s="131"/>
      <c r="D838" s="259"/>
      <c r="E838" s="260"/>
      <c r="F838" s="261"/>
    </row>
    <row r="839">
      <c r="A839" s="258"/>
      <c r="C839" s="131"/>
      <c r="D839" s="259"/>
      <c r="E839" s="260"/>
      <c r="F839" s="261"/>
    </row>
    <row r="840">
      <c r="A840" s="258"/>
      <c r="C840" s="131"/>
      <c r="D840" s="259"/>
      <c r="E840" s="260"/>
      <c r="F840" s="261"/>
    </row>
    <row r="841">
      <c r="A841" s="258"/>
      <c r="C841" s="131"/>
      <c r="D841" s="259"/>
      <c r="E841" s="260"/>
      <c r="F841" s="261"/>
    </row>
    <row r="842">
      <c r="A842" s="258"/>
      <c r="C842" s="131"/>
      <c r="D842" s="259"/>
      <c r="E842" s="260"/>
      <c r="F842" s="261"/>
    </row>
    <row r="843">
      <c r="A843" s="258"/>
      <c r="C843" s="131"/>
      <c r="D843" s="259"/>
      <c r="E843" s="260"/>
      <c r="F843" s="261"/>
    </row>
    <row r="844">
      <c r="A844" s="258"/>
      <c r="C844" s="131"/>
      <c r="D844" s="259"/>
      <c r="E844" s="260"/>
      <c r="F844" s="261"/>
    </row>
    <row r="845">
      <c r="A845" s="258"/>
      <c r="C845" s="131"/>
      <c r="D845" s="259"/>
      <c r="E845" s="260"/>
      <c r="F845" s="261"/>
    </row>
    <row r="846">
      <c r="A846" s="258"/>
      <c r="C846" s="131"/>
      <c r="D846" s="259"/>
      <c r="E846" s="260"/>
      <c r="F846" s="261"/>
    </row>
    <row r="847">
      <c r="A847" s="258"/>
      <c r="C847" s="131"/>
      <c r="D847" s="259"/>
      <c r="E847" s="260"/>
      <c r="F847" s="261"/>
    </row>
    <row r="848">
      <c r="A848" s="258"/>
      <c r="C848" s="131"/>
      <c r="D848" s="259"/>
      <c r="E848" s="260"/>
      <c r="F848" s="261"/>
    </row>
    <row r="849">
      <c r="A849" s="258"/>
      <c r="C849" s="131"/>
      <c r="D849" s="259"/>
      <c r="E849" s="260"/>
      <c r="F849" s="261"/>
    </row>
    <row r="850">
      <c r="A850" s="258"/>
      <c r="C850" s="131"/>
      <c r="D850" s="259"/>
      <c r="E850" s="260"/>
      <c r="F850" s="261"/>
    </row>
    <row r="851">
      <c r="A851" s="258"/>
      <c r="C851" s="131"/>
      <c r="D851" s="259"/>
      <c r="E851" s="260"/>
      <c r="F851" s="261"/>
    </row>
    <row r="852">
      <c r="A852" s="258"/>
      <c r="C852" s="131"/>
      <c r="D852" s="259"/>
      <c r="E852" s="260"/>
      <c r="F852" s="261"/>
    </row>
    <row r="853">
      <c r="A853" s="258"/>
      <c r="C853" s="131"/>
      <c r="D853" s="259"/>
      <c r="E853" s="260"/>
      <c r="F853" s="261"/>
    </row>
    <row r="854">
      <c r="A854" s="258"/>
      <c r="C854" s="131"/>
      <c r="D854" s="259"/>
      <c r="E854" s="260"/>
      <c r="F854" s="261"/>
    </row>
    <row r="855">
      <c r="A855" s="258"/>
      <c r="C855" s="131"/>
      <c r="D855" s="259"/>
      <c r="E855" s="260"/>
      <c r="F855" s="261"/>
    </row>
    <row r="856">
      <c r="A856" s="258"/>
      <c r="C856" s="131"/>
      <c r="D856" s="259"/>
      <c r="E856" s="260"/>
      <c r="F856" s="261"/>
    </row>
    <row r="857">
      <c r="A857" s="258"/>
      <c r="C857" s="131"/>
      <c r="D857" s="259"/>
      <c r="E857" s="260"/>
      <c r="F857" s="261"/>
    </row>
    <row r="858">
      <c r="A858" s="258"/>
      <c r="C858" s="131"/>
      <c r="D858" s="259"/>
      <c r="E858" s="260"/>
      <c r="F858" s="261"/>
    </row>
    <row r="859">
      <c r="A859" s="258"/>
      <c r="C859" s="131"/>
      <c r="D859" s="259"/>
      <c r="E859" s="260"/>
      <c r="F859" s="261"/>
    </row>
    <row r="860">
      <c r="A860" s="258"/>
      <c r="C860" s="131"/>
      <c r="D860" s="259"/>
      <c r="E860" s="260"/>
      <c r="F860" s="261"/>
    </row>
    <row r="861">
      <c r="A861" s="258"/>
      <c r="C861" s="131"/>
      <c r="D861" s="259"/>
      <c r="E861" s="260"/>
      <c r="F861" s="261"/>
    </row>
    <row r="862">
      <c r="A862" s="258"/>
      <c r="C862" s="131"/>
      <c r="D862" s="259"/>
      <c r="E862" s="260"/>
      <c r="F862" s="261"/>
    </row>
    <row r="863">
      <c r="A863" s="258"/>
      <c r="C863" s="131"/>
      <c r="D863" s="259"/>
      <c r="E863" s="260"/>
      <c r="F863" s="261"/>
    </row>
    <row r="864">
      <c r="A864" s="258"/>
      <c r="C864" s="131"/>
      <c r="D864" s="259"/>
      <c r="E864" s="260"/>
      <c r="F864" s="261"/>
    </row>
    <row r="865">
      <c r="A865" s="258"/>
      <c r="C865" s="131"/>
      <c r="D865" s="259"/>
      <c r="E865" s="260"/>
      <c r="F865" s="261"/>
    </row>
    <row r="866">
      <c r="A866" s="258"/>
      <c r="C866" s="131"/>
      <c r="D866" s="259"/>
      <c r="E866" s="260"/>
      <c r="F866" s="261"/>
    </row>
    <row r="867">
      <c r="A867" s="258"/>
      <c r="C867" s="131"/>
      <c r="D867" s="259"/>
      <c r="E867" s="260"/>
      <c r="F867" s="261"/>
    </row>
    <row r="868">
      <c r="A868" s="258"/>
      <c r="C868" s="131"/>
      <c r="D868" s="259"/>
      <c r="E868" s="260"/>
      <c r="F868" s="261"/>
    </row>
    <row r="869">
      <c r="A869" s="258"/>
      <c r="C869" s="131"/>
      <c r="D869" s="259"/>
      <c r="E869" s="260"/>
      <c r="F869" s="261"/>
    </row>
    <row r="870">
      <c r="A870" s="258"/>
      <c r="C870" s="131"/>
      <c r="D870" s="259"/>
      <c r="E870" s="260"/>
      <c r="F870" s="261"/>
    </row>
    <row r="871">
      <c r="A871" s="258"/>
      <c r="C871" s="131"/>
      <c r="D871" s="259"/>
      <c r="E871" s="260"/>
      <c r="F871" s="261"/>
    </row>
    <row r="872">
      <c r="A872" s="258"/>
      <c r="C872" s="131"/>
      <c r="D872" s="259"/>
      <c r="E872" s="260"/>
      <c r="F872" s="261"/>
    </row>
    <row r="873">
      <c r="A873" s="258"/>
      <c r="C873" s="131"/>
      <c r="D873" s="259"/>
      <c r="E873" s="260"/>
      <c r="F873" s="261"/>
    </row>
    <row r="874">
      <c r="A874" s="258"/>
      <c r="C874" s="131"/>
      <c r="D874" s="259"/>
      <c r="E874" s="260"/>
      <c r="F874" s="261"/>
    </row>
    <row r="875">
      <c r="A875" s="258"/>
      <c r="C875" s="131"/>
      <c r="D875" s="259"/>
      <c r="E875" s="260"/>
      <c r="F875" s="261"/>
    </row>
    <row r="876">
      <c r="A876" s="258"/>
      <c r="C876" s="131"/>
      <c r="D876" s="259"/>
      <c r="E876" s="260"/>
      <c r="F876" s="261"/>
    </row>
    <row r="877">
      <c r="A877" s="258"/>
      <c r="C877" s="131"/>
      <c r="D877" s="259"/>
      <c r="E877" s="260"/>
      <c r="F877" s="261"/>
    </row>
    <row r="878">
      <c r="A878" s="258"/>
      <c r="C878" s="131"/>
      <c r="D878" s="259"/>
      <c r="E878" s="260"/>
      <c r="F878" s="261"/>
    </row>
    <row r="879">
      <c r="A879" s="258"/>
      <c r="C879" s="131"/>
      <c r="D879" s="259"/>
      <c r="E879" s="260"/>
      <c r="F879" s="261"/>
    </row>
    <row r="880">
      <c r="A880" s="258"/>
      <c r="C880" s="131"/>
      <c r="D880" s="259"/>
      <c r="E880" s="260"/>
      <c r="F880" s="261"/>
    </row>
    <row r="881">
      <c r="A881" s="258"/>
      <c r="C881" s="131"/>
      <c r="D881" s="259"/>
      <c r="E881" s="260"/>
      <c r="F881" s="261"/>
    </row>
    <row r="882">
      <c r="A882" s="258"/>
      <c r="C882" s="131"/>
      <c r="D882" s="259"/>
      <c r="E882" s="260"/>
      <c r="F882" s="261"/>
    </row>
    <row r="883">
      <c r="A883" s="258"/>
      <c r="C883" s="131"/>
      <c r="D883" s="259"/>
      <c r="E883" s="260"/>
      <c r="F883" s="261"/>
    </row>
    <row r="884">
      <c r="A884" s="258"/>
      <c r="C884" s="131"/>
      <c r="D884" s="259"/>
      <c r="E884" s="260"/>
      <c r="F884" s="261"/>
    </row>
    <row r="885">
      <c r="A885" s="258"/>
      <c r="C885" s="131"/>
      <c r="D885" s="259"/>
      <c r="E885" s="260"/>
      <c r="F885" s="261"/>
    </row>
    <row r="886">
      <c r="A886" s="258"/>
      <c r="C886" s="131"/>
      <c r="D886" s="259"/>
      <c r="E886" s="260"/>
      <c r="F886" s="261"/>
    </row>
    <row r="887">
      <c r="A887" s="258"/>
      <c r="C887" s="131"/>
      <c r="D887" s="259"/>
      <c r="E887" s="260"/>
      <c r="F887" s="261"/>
    </row>
    <row r="888">
      <c r="A888" s="258"/>
      <c r="C888" s="131"/>
      <c r="D888" s="259"/>
      <c r="E888" s="260"/>
      <c r="F888" s="261"/>
    </row>
    <row r="889">
      <c r="A889" s="258"/>
      <c r="C889" s="131"/>
      <c r="D889" s="259"/>
      <c r="E889" s="260"/>
      <c r="F889" s="261"/>
    </row>
    <row r="890">
      <c r="A890" s="258"/>
      <c r="C890" s="131"/>
      <c r="D890" s="259"/>
      <c r="E890" s="260"/>
      <c r="F890" s="261"/>
    </row>
    <row r="891">
      <c r="A891" s="258"/>
      <c r="C891" s="131"/>
      <c r="D891" s="259"/>
      <c r="E891" s="260"/>
      <c r="F891" s="261"/>
    </row>
    <row r="892">
      <c r="A892" s="258"/>
      <c r="C892" s="131"/>
      <c r="D892" s="259"/>
      <c r="E892" s="260"/>
      <c r="F892" s="261"/>
    </row>
    <row r="893">
      <c r="A893" s="258"/>
      <c r="C893" s="131"/>
      <c r="D893" s="259"/>
      <c r="E893" s="260"/>
      <c r="F893" s="261"/>
    </row>
    <row r="894">
      <c r="A894" s="258"/>
      <c r="C894" s="131"/>
      <c r="D894" s="259"/>
      <c r="E894" s="260"/>
      <c r="F894" s="261"/>
    </row>
    <row r="895">
      <c r="A895" s="258"/>
      <c r="C895" s="131"/>
      <c r="D895" s="259"/>
      <c r="E895" s="260"/>
      <c r="F895" s="261"/>
    </row>
    <row r="896">
      <c r="A896" s="258"/>
      <c r="C896" s="131"/>
      <c r="D896" s="259"/>
      <c r="E896" s="260"/>
      <c r="F896" s="261"/>
    </row>
    <row r="897">
      <c r="A897" s="258"/>
      <c r="C897" s="131"/>
      <c r="D897" s="259"/>
      <c r="E897" s="260"/>
      <c r="F897" s="261"/>
    </row>
    <row r="898">
      <c r="A898" s="258"/>
      <c r="C898" s="131"/>
      <c r="D898" s="259"/>
      <c r="E898" s="260"/>
      <c r="F898" s="261"/>
    </row>
    <row r="899">
      <c r="A899" s="258"/>
      <c r="C899" s="131"/>
      <c r="D899" s="259"/>
      <c r="E899" s="260"/>
      <c r="F899" s="261"/>
    </row>
    <row r="900">
      <c r="A900" s="258"/>
      <c r="C900" s="131"/>
      <c r="D900" s="259"/>
      <c r="E900" s="260"/>
      <c r="F900" s="261"/>
    </row>
    <row r="901">
      <c r="A901" s="258"/>
      <c r="C901" s="131"/>
      <c r="D901" s="259"/>
      <c r="E901" s="260"/>
      <c r="F901" s="261"/>
    </row>
    <row r="902">
      <c r="A902" s="258"/>
      <c r="C902" s="131"/>
      <c r="D902" s="259"/>
      <c r="E902" s="260"/>
      <c r="F902" s="261"/>
    </row>
    <row r="903">
      <c r="A903" s="258"/>
      <c r="C903" s="131"/>
      <c r="D903" s="259"/>
      <c r="E903" s="260"/>
      <c r="F903" s="261"/>
    </row>
    <row r="904">
      <c r="A904" s="258"/>
      <c r="C904" s="131"/>
      <c r="D904" s="259"/>
      <c r="E904" s="260"/>
      <c r="F904" s="261"/>
    </row>
    <row r="905">
      <c r="A905" s="258"/>
      <c r="C905" s="131"/>
      <c r="D905" s="259"/>
      <c r="E905" s="260"/>
      <c r="F905" s="261"/>
    </row>
    <row r="906">
      <c r="A906" s="258"/>
      <c r="C906" s="131"/>
      <c r="D906" s="259"/>
      <c r="E906" s="260"/>
      <c r="F906" s="261"/>
    </row>
    <row r="907">
      <c r="A907" s="258"/>
      <c r="C907" s="131"/>
      <c r="D907" s="259"/>
      <c r="E907" s="260"/>
      <c r="F907" s="261"/>
    </row>
    <row r="908">
      <c r="A908" s="258"/>
      <c r="C908" s="131"/>
      <c r="D908" s="259"/>
      <c r="E908" s="260"/>
      <c r="F908" s="261"/>
    </row>
    <row r="909">
      <c r="A909" s="258"/>
      <c r="C909" s="131"/>
      <c r="D909" s="259"/>
      <c r="E909" s="260"/>
      <c r="F909" s="261"/>
    </row>
    <row r="910">
      <c r="A910" s="258"/>
      <c r="C910" s="131"/>
      <c r="D910" s="259"/>
      <c r="E910" s="260"/>
      <c r="F910" s="261"/>
    </row>
    <row r="911">
      <c r="A911" s="258"/>
      <c r="C911" s="131"/>
      <c r="D911" s="259"/>
      <c r="E911" s="260"/>
      <c r="F911" s="261"/>
    </row>
    <row r="912">
      <c r="A912" s="258"/>
      <c r="C912" s="131"/>
      <c r="D912" s="259"/>
      <c r="E912" s="260"/>
      <c r="F912" s="261"/>
    </row>
    <row r="913">
      <c r="A913" s="258"/>
      <c r="C913" s="131"/>
      <c r="D913" s="259"/>
      <c r="E913" s="260"/>
      <c r="F913" s="261"/>
    </row>
    <row r="914">
      <c r="A914" s="258"/>
      <c r="C914" s="131"/>
      <c r="D914" s="259"/>
      <c r="E914" s="260"/>
      <c r="F914" s="261"/>
    </row>
    <row r="915">
      <c r="A915" s="258"/>
      <c r="C915" s="131"/>
      <c r="D915" s="259"/>
      <c r="E915" s="260"/>
      <c r="F915" s="261"/>
    </row>
    <row r="916">
      <c r="A916" s="258"/>
      <c r="C916" s="131"/>
      <c r="D916" s="259"/>
      <c r="E916" s="260"/>
      <c r="F916" s="261"/>
    </row>
    <row r="917">
      <c r="A917" s="258"/>
      <c r="C917" s="131"/>
      <c r="D917" s="259"/>
      <c r="E917" s="260"/>
      <c r="F917" s="261"/>
    </row>
    <row r="918">
      <c r="A918" s="258"/>
      <c r="C918" s="131"/>
      <c r="D918" s="259"/>
      <c r="E918" s="260"/>
      <c r="F918" s="261"/>
    </row>
    <row r="919">
      <c r="A919" s="258"/>
      <c r="C919" s="131"/>
      <c r="D919" s="259"/>
      <c r="E919" s="260"/>
      <c r="F919" s="261"/>
    </row>
    <row r="920">
      <c r="A920" s="258"/>
      <c r="C920" s="131"/>
      <c r="D920" s="259"/>
      <c r="E920" s="260"/>
      <c r="F920" s="261"/>
    </row>
    <row r="921">
      <c r="A921" s="258"/>
      <c r="C921" s="131"/>
      <c r="D921" s="259"/>
      <c r="E921" s="260"/>
      <c r="F921" s="261"/>
    </row>
    <row r="922">
      <c r="A922" s="258"/>
      <c r="C922" s="131"/>
      <c r="D922" s="259"/>
      <c r="E922" s="260"/>
      <c r="F922" s="261"/>
    </row>
    <row r="923">
      <c r="A923" s="258"/>
      <c r="C923" s="131"/>
      <c r="D923" s="259"/>
      <c r="E923" s="260"/>
      <c r="F923" s="261"/>
    </row>
    <row r="924">
      <c r="A924" s="258"/>
      <c r="C924" s="131"/>
      <c r="D924" s="259"/>
      <c r="E924" s="260"/>
      <c r="F924" s="261"/>
    </row>
    <row r="925">
      <c r="A925" s="258"/>
      <c r="C925" s="131"/>
      <c r="D925" s="259"/>
      <c r="E925" s="260"/>
      <c r="F925" s="261"/>
    </row>
    <row r="926">
      <c r="A926" s="258"/>
      <c r="C926" s="131"/>
      <c r="D926" s="259"/>
      <c r="E926" s="260"/>
      <c r="F926" s="261"/>
    </row>
    <row r="927">
      <c r="A927" s="258"/>
      <c r="C927" s="131"/>
      <c r="D927" s="259"/>
      <c r="E927" s="260"/>
      <c r="F927" s="261"/>
    </row>
    <row r="928">
      <c r="A928" s="258"/>
      <c r="C928" s="131"/>
      <c r="D928" s="259"/>
      <c r="E928" s="260"/>
      <c r="F928" s="261"/>
    </row>
    <row r="929">
      <c r="A929" s="258"/>
      <c r="C929" s="131"/>
      <c r="D929" s="259"/>
      <c r="E929" s="260"/>
      <c r="F929" s="261"/>
    </row>
    <row r="930">
      <c r="A930" s="258"/>
      <c r="C930" s="131"/>
      <c r="D930" s="259"/>
      <c r="E930" s="260"/>
      <c r="F930" s="261"/>
    </row>
    <row r="931">
      <c r="A931" s="258"/>
      <c r="C931" s="131"/>
      <c r="D931" s="259"/>
      <c r="E931" s="260"/>
      <c r="F931" s="261"/>
    </row>
    <row r="932">
      <c r="A932" s="258"/>
      <c r="C932" s="131"/>
      <c r="D932" s="259"/>
      <c r="E932" s="260"/>
      <c r="F932" s="261"/>
    </row>
    <row r="933">
      <c r="A933" s="258"/>
      <c r="C933" s="131"/>
      <c r="D933" s="259"/>
      <c r="E933" s="260"/>
      <c r="F933" s="261"/>
    </row>
    <row r="934">
      <c r="A934" s="258"/>
      <c r="C934" s="131"/>
      <c r="D934" s="259"/>
      <c r="E934" s="260"/>
      <c r="F934" s="261"/>
    </row>
    <row r="935">
      <c r="A935" s="258"/>
      <c r="C935" s="131"/>
      <c r="D935" s="259"/>
      <c r="E935" s="260"/>
      <c r="F935" s="261"/>
    </row>
    <row r="936">
      <c r="A936" s="258"/>
      <c r="C936" s="131"/>
      <c r="D936" s="259"/>
      <c r="E936" s="260"/>
      <c r="F936" s="261"/>
    </row>
    <row r="937">
      <c r="A937" s="258"/>
      <c r="C937" s="131"/>
      <c r="D937" s="259"/>
      <c r="E937" s="260"/>
      <c r="F937" s="261"/>
    </row>
    <row r="938">
      <c r="A938" s="258"/>
      <c r="C938" s="131"/>
      <c r="D938" s="259"/>
      <c r="E938" s="260"/>
      <c r="F938" s="261"/>
    </row>
    <row r="939">
      <c r="A939" s="258"/>
      <c r="C939" s="131"/>
      <c r="D939" s="259"/>
      <c r="E939" s="260"/>
      <c r="F939" s="261"/>
    </row>
    <row r="940">
      <c r="A940" s="258"/>
      <c r="C940" s="131"/>
      <c r="D940" s="259"/>
      <c r="E940" s="260"/>
      <c r="F940" s="261"/>
    </row>
    <row r="941">
      <c r="A941" s="258"/>
      <c r="C941" s="131"/>
      <c r="D941" s="259"/>
      <c r="E941" s="260"/>
      <c r="F941" s="261"/>
    </row>
    <row r="942">
      <c r="A942" s="258"/>
      <c r="C942" s="131"/>
      <c r="D942" s="259"/>
      <c r="E942" s="260"/>
      <c r="F942" s="261"/>
    </row>
    <row r="943">
      <c r="A943" s="258"/>
      <c r="C943" s="131"/>
      <c r="D943" s="259"/>
      <c r="E943" s="260"/>
      <c r="F943" s="261"/>
    </row>
    <row r="944">
      <c r="A944" s="258"/>
      <c r="C944" s="131"/>
      <c r="D944" s="259"/>
      <c r="E944" s="260"/>
      <c r="F944" s="261"/>
    </row>
    <row r="945">
      <c r="A945" s="258"/>
      <c r="C945" s="131"/>
      <c r="D945" s="259"/>
      <c r="E945" s="260"/>
      <c r="F945" s="261"/>
    </row>
    <row r="946">
      <c r="A946" s="258"/>
      <c r="C946" s="131"/>
      <c r="D946" s="259"/>
      <c r="E946" s="260"/>
      <c r="F946" s="261"/>
    </row>
    <row r="947">
      <c r="A947" s="258"/>
      <c r="C947" s="131"/>
      <c r="D947" s="259"/>
      <c r="E947" s="260"/>
      <c r="F947" s="261"/>
    </row>
    <row r="948">
      <c r="A948" s="258"/>
      <c r="C948" s="131"/>
      <c r="D948" s="259"/>
      <c r="E948" s="260"/>
      <c r="F948" s="261"/>
    </row>
    <row r="949">
      <c r="A949" s="258"/>
      <c r="C949" s="131"/>
      <c r="D949" s="259"/>
      <c r="E949" s="260"/>
      <c r="F949" s="261"/>
    </row>
    <row r="950">
      <c r="A950" s="258"/>
      <c r="C950" s="131"/>
      <c r="D950" s="259"/>
      <c r="E950" s="260"/>
      <c r="F950" s="261"/>
    </row>
    <row r="951">
      <c r="A951" s="258"/>
      <c r="C951" s="131"/>
      <c r="D951" s="259"/>
      <c r="E951" s="260"/>
      <c r="F951" s="261"/>
    </row>
    <row r="952">
      <c r="A952" s="258"/>
      <c r="C952" s="131"/>
      <c r="D952" s="259"/>
      <c r="E952" s="260"/>
      <c r="F952" s="261"/>
    </row>
    <row r="953">
      <c r="A953" s="258"/>
      <c r="C953" s="131"/>
      <c r="D953" s="259"/>
      <c r="E953" s="260"/>
      <c r="F953" s="261"/>
    </row>
    <row r="954">
      <c r="A954" s="258"/>
      <c r="C954" s="131"/>
      <c r="D954" s="259"/>
      <c r="E954" s="260"/>
      <c r="F954" s="261"/>
    </row>
    <row r="955">
      <c r="A955" s="258"/>
      <c r="C955" s="131"/>
      <c r="D955" s="259"/>
      <c r="E955" s="260"/>
      <c r="F955" s="261"/>
    </row>
    <row r="956">
      <c r="A956" s="258"/>
      <c r="C956" s="131"/>
      <c r="D956" s="259"/>
      <c r="E956" s="260"/>
      <c r="F956" s="261"/>
    </row>
    <row r="957">
      <c r="A957" s="258"/>
      <c r="C957" s="131"/>
      <c r="D957" s="259"/>
      <c r="E957" s="260"/>
      <c r="F957" s="261"/>
    </row>
    <row r="958">
      <c r="A958" s="258"/>
      <c r="C958" s="131"/>
      <c r="D958" s="259"/>
      <c r="E958" s="260"/>
      <c r="F958" s="261"/>
    </row>
    <row r="959">
      <c r="A959" s="258"/>
      <c r="C959" s="131"/>
      <c r="D959" s="259"/>
      <c r="E959" s="260"/>
      <c r="F959" s="261"/>
    </row>
    <row r="960">
      <c r="A960" s="258"/>
      <c r="C960" s="131"/>
      <c r="D960" s="259"/>
      <c r="E960" s="260"/>
      <c r="F960" s="261"/>
    </row>
    <row r="961">
      <c r="A961" s="258"/>
      <c r="C961" s="131"/>
      <c r="D961" s="259"/>
      <c r="E961" s="260"/>
      <c r="F961" s="261"/>
    </row>
    <row r="962">
      <c r="A962" s="258"/>
      <c r="C962" s="131"/>
      <c r="D962" s="259"/>
      <c r="E962" s="260"/>
      <c r="F962" s="261"/>
    </row>
    <row r="963">
      <c r="A963" s="258"/>
      <c r="C963" s="131"/>
      <c r="D963" s="259"/>
      <c r="E963" s="260"/>
      <c r="F963" s="261"/>
    </row>
    <row r="964">
      <c r="A964" s="258"/>
      <c r="C964" s="131"/>
      <c r="D964" s="259"/>
      <c r="E964" s="260"/>
      <c r="F964" s="261"/>
    </row>
    <row r="965">
      <c r="A965" s="258"/>
      <c r="C965" s="131"/>
      <c r="D965" s="259"/>
      <c r="E965" s="260"/>
      <c r="F965" s="261"/>
    </row>
    <row r="966">
      <c r="A966" s="258"/>
      <c r="C966" s="131"/>
      <c r="D966" s="259"/>
      <c r="E966" s="260"/>
      <c r="F966" s="261"/>
    </row>
    <row r="967">
      <c r="A967" s="258"/>
      <c r="C967" s="131"/>
      <c r="D967" s="259"/>
      <c r="E967" s="260"/>
      <c r="F967" s="261"/>
    </row>
    <row r="968">
      <c r="A968" s="258"/>
      <c r="C968" s="131"/>
      <c r="D968" s="259"/>
      <c r="E968" s="260"/>
      <c r="F968" s="261"/>
    </row>
    <row r="969">
      <c r="A969" s="258"/>
      <c r="C969" s="131"/>
      <c r="D969" s="259"/>
      <c r="E969" s="260"/>
      <c r="F969" s="261"/>
    </row>
    <row r="970">
      <c r="A970" s="258"/>
      <c r="C970" s="131"/>
      <c r="D970" s="259"/>
      <c r="E970" s="260"/>
      <c r="F970" s="261"/>
    </row>
    <row r="971">
      <c r="A971" s="258"/>
      <c r="C971" s="131"/>
      <c r="D971" s="259"/>
      <c r="E971" s="260"/>
      <c r="F971" s="261"/>
    </row>
    <row r="972">
      <c r="A972" s="258"/>
      <c r="C972" s="131"/>
      <c r="D972" s="259"/>
      <c r="E972" s="260"/>
      <c r="F972" s="261"/>
    </row>
    <row r="973">
      <c r="A973" s="258"/>
      <c r="C973" s="131"/>
      <c r="D973" s="259"/>
      <c r="E973" s="260"/>
      <c r="F973" s="261"/>
    </row>
    <row r="974">
      <c r="A974" s="258"/>
      <c r="C974" s="131"/>
      <c r="D974" s="259"/>
      <c r="E974" s="260"/>
      <c r="F974" s="261"/>
    </row>
    <row r="975">
      <c r="A975" s="258"/>
      <c r="C975" s="131"/>
      <c r="D975" s="259"/>
      <c r="E975" s="260"/>
      <c r="F975" s="261"/>
    </row>
    <row r="976">
      <c r="A976" s="258"/>
      <c r="C976" s="131"/>
      <c r="D976" s="259"/>
      <c r="E976" s="260"/>
      <c r="F976" s="261"/>
    </row>
    <row r="977">
      <c r="A977" s="258"/>
      <c r="C977" s="131"/>
      <c r="D977" s="259"/>
      <c r="E977" s="260"/>
      <c r="F977" s="261"/>
    </row>
    <row r="978">
      <c r="A978" s="258"/>
      <c r="C978" s="131"/>
      <c r="D978" s="259"/>
      <c r="E978" s="260"/>
      <c r="F978" s="261"/>
    </row>
    <row r="979">
      <c r="A979" s="258"/>
      <c r="C979" s="131"/>
      <c r="D979" s="259"/>
      <c r="E979" s="260"/>
      <c r="F979" s="261"/>
    </row>
    <row r="980">
      <c r="A980" s="258"/>
      <c r="C980" s="131"/>
      <c r="D980" s="259"/>
      <c r="E980" s="260"/>
      <c r="F980" s="261"/>
    </row>
    <row r="981">
      <c r="A981" s="258"/>
      <c r="C981" s="131"/>
      <c r="D981" s="259"/>
      <c r="E981" s="260"/>
      <c r="F981" s="261"/>
    </row>
    <row r="982">
      <c r="A982" s="258"/>
      <c r="C982" s="131"/>
      <c r="D982" s="259"/>
      <c r="E982" s="260"/>
      <c r="F982" s="261"/>
    </row>
    <row r="983">
      <c r="A983" s="258"/>
      <c r="C983" s="131"/>
      <c r="D983" s="259"/>
      <c r="E983" s="260"/>
      <c r="F983" s="261"/>
    </row>
    <row r="984">
      <c r="A984" s="258"/>
      <c r="C984" s="131"/>
      <c r="D984" s="259"/>
      <c r="E984" s="260"/>
      <c r="F984" s="261"/>
    </row>
    <row r="985">
      <c r="A985" s="258"/>
      <c r="C985" s="131"/>
      <c r="D985" s="259"/>
      <c r="E985" s="260"/>
      <c r="F985" s="261"/>
    </row>
    <row r="986">
      <c r="A986" s="258"/>
      <c r="C986" s="131"/>
      <c r="D986" s="259"/>
      <c r="E986" s="260"/>
      <c r="F986" s="261"/>
    </row>
    <row r="987">
      <c r="A987" s="258"/>
      <c r="C987" s="131"/>
      <c r="D987" s="259"/>
      <c r="E987" s="260"/>
      <c r="F987" s="261"/>
    </row>
    <row r="988">
      <c r="A988" s="258"/>
      <c r="C988" s="131"/>
      <c r="D988" s="259"/>
      <c r="E988" s="260"/>
      <c r="F988" s="261"/>
    </row>
    <row r="989">
      <c r="A989" s="258"/>
      <c r="C989" s="131"/>
      <c r="D989" s="259"/>
      <c r="E989" s="260"/>
      <c r="F989" s="261"/>
    </row>
    <row r="990">
      <c r="A990" s="258"/>
      <c r="C990" s="131"/>
      <c r="D990" s="259"/>
      <c r="E990" s="260"/>
      <c r="F990" s="261"/>
    </row>
    <row r="991">
      <c r="A991" s="258"/>
      <c r="C991" s="131"/>
      <c r="D991" s="259"/>
      <c r="E991" s="260"/>
      <c r="F991" s="261"/>
    </row>
    <row r="992">
      <c r="A992" s="258"/>
      <c r="C992" s="131"/>
      <c r="D992" s="259"/>
      <c r="E992" s="260"/>
      <c r="F992" s="261"/>
    </row>
    <row r="993">
      <c r="A993" s="258"/>
      <c r="C993" s="131"/>
      <c r="D993" s="259"/>
      <c r="E993" s="260"/>
      <c r="F993" s="261"/>
    </row>
    <row r="994">
      <c r="A994" s="258"/>
      <c r="C994" s="131"/>
      <c r="D994" s="259"/>
      <c r="E994" s="260"/>
      <c r="F994" s="261"/>
    </row>
    <row r="995">
      <c r="A995" s="258"/>
      <c r="C995" s="131"/>
      <c r="D995" s="259"/>
      <c r="E995" s="260"/>
      <c r="F995" s="261"/>
    </row>
    <row r="996">
      <c r="A996" s="258"/>
      <c r="C996" s="131"/>
      <c r="D996" s="259"/>
      <c r="E996" s="260"/>
      <c r="F996" s="261"/>
    </row>
    <row r="997">
      <c r="A997" s="258"/>
      <c r="C997" s="131"/>
      <c r="D997" s="259"/>
      <c r="E997" s="260"/>
      <c r="F997" s="261"/>
    </row>
    <row r="998">
      <c r="A998" s="258"/>
      <c r="C998" s="131"/>
      <c r="D998" s="259"/>
      <c r="E998" s="260"/>
      <c r="F998" s="261"/>
    </row>
    <row r="999">
      <c r="A999" s="258"/>
      <c r="C999" s="131"/>
      <c r="D999" s="259"/>
      <c r="E999" s="260"/>
      <c r="F999" s="261"/>
    </row>
    <row r="1000">
      <c r="A1000" s="258"/>
      <c r="C1000" s="131"/>
      <c r="D1000" s="259"/>
      <c r="E1000" s="260"/>
      <c r="F1000" s="261"/>
    </row>
    <row r="1001">
      <c r="A1001" s="258"/>
      <c r="C1001" s="131"/>
      <c r="D1001" s="259"/>
      <c r="E1001" s="260"/>
      <c r="F1001" s="261"/>
    </row>
    <row r="1002">
      <c r="A1002" s="258"/>
      <c r="C1002" s="131"/>
      <c r="D1002" s="259"/>
      <c r="E1002" s="260"/>
      <c r="F1002" s="261"/>
    </row>
    <row r="1003">
      <c r="A1003" s="258"/>
      <c r="C1003" s="131"/>
      <c r="D1003" s="259"/>
      <c r="E1003" s="260"/>
      <c r="F1003" s="261"/>
    </row>
    <row r="1004">
      <c r="A1004" s="258"/>
      <c r="C1004" s="131"/>
      <c r="D1004" s="259"/>
      <c r="E1004" s="260"/>
      <c r="F1004" s="261"/>
    </row>
    <row r="1005">
      <c r="A1005" s="258"/>
      <c r="C1005" s="131"/>
      <c r="D1005" s="259"/>
      <c r="E1005" s="260"/>
      <c r="F1005" s="261"/>
    </row>
    <row r="1006">
      <c r="A1006" s="258"/>
      <c r="C1006" s="131"/>
      <c r="D1006" s="259"/>
      <c r="E1006" s="260"/>
      <c r="F1006" s="261"/>
    </row>
    <row r="1007">
      <c r="A1007" s="258"/>
      <c r="C1007" s="131"/>
      <c r="D1007" s="259"/>
      <c r="E1007" s="260"/>
      <c r="F1007" s="261"/>
    </row>
    <row r="1008">
      <c r="A1008" s="258"/>
      <c r="C1008" s="131"/>
      <c r="D1008" s="259"/>
      <c r="E1008" s="260"/>
      <c r="F1008" s="261"/>
    </row>
  </sheetData>
  <mergeCells count="7">
    <mergeCell ref="A1:F1"/>
    <mergeCell ref="A2:A3"/>
    <mergeCell ref="B2:B3"/>
    <mergeCell ref="C2:C3"/>
    <mergeCell ref="D2:E2"/>
    <mergeCell ref="F2:F3"/>
    <mergeCell ref="A5:A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2" t="s">
        <v>375</v>
      </c>
      <c r="B1" s="83"/>
      <c r="C1" s="84"/>
      <c r="D1" s="262" t="s">
        <v>376</v>
      </c>
      <c r="E1" s="83"/>
      <c r="F1" s="84"/>
      <c r="G1" s="262" t="s">
        <v>377</v>
      </c>
      <c r="H1" s="83"/>
      <c r="I1" s="84"/>
      <c r="J1" s="262" t="s">
        <v>378</v>
      </c>
      <c r="K1" s="83"/>
      <c r="L1" s="84"/>
      <c r="M1" s="262" t="s">
        <v>379</v>
      </c>
      <c r="N1" s="83"/>
      <c r="O1" s="84"/>
      <c r="P1" s="262" t="s">
        <v>380</v>
      </c>
      <c r="Q1" s="83"/>
      <c r="R1" s="84"/>
      <c r="S1" s="262" t="s">
        <v>381</v>
      </c>
      <c r="T1" s="83"/>
      <c r="U1" s="84"/>
      <c r="V1" s="262" t="s">
        <v>382</v>
      </c>
      <c r="W1" s="83"/>
      <c r="X1" s="84"/>
      <c r="Y1" s="262" t="s">
        <v>383</v>
      </c>
      <c r="Z1" s="83"/>
      <c r="AA1" s="84"/>
      <c r="AB1" s="262" t="s">
        <v>384</v>
      </c>
      <c r="AC1" s="83"/>
      <c r="AD1" s="84"/>
      <c r="AE1" s="263" t="s">
        <v>385</v>
      </c>
      <c r="AF1" s="83"/>
      <c r="AG1" s="84"/>
      <c r="AH1" s="263" t="s">
        <v>386</v>
      </c>
      <c r="AI1" s="83"/>
      <c r="AJ1" s="84"/>
      <c r="AK1" s="264"/>
      <c r="AL1" s="264"/>
      <c r="AM1" s="264"/>
    </row>
    <row r="2">
      <c r="A2" s="39"/>
      <c r="B2" s="60" t="s">
        <v>387</v>
      </c>
      <c r="C2" s="60" t="s">
        <v>157</v>
      </c>
      <c r="D2" s="39"/>
      <c r="E2" s="60" t="s">
        <v>387</v>
      </c>
      <c r="F2" s="60" t="s">
        <v>157</v>
      </c>
      <c r="G2" s="39"/>
      <c r="H2" s="60" t="s">
        <v>387</v>
      </c>
      <c r="I2" s="60" t="s">
        <v>157</v>
      </c>
      <c r="J2" s="39"/>
      <c r="K2" s="60" t="s">
        <v>387</v>
      </c>
      <c r="L2" s="60" t="s">
        <v>157</v>
      </c>
      <c r="M2" s="39"/>
      <c r="N2" s="60" t="s">
        <v>387</v>
      </c>
      <c r="O2" s="60" t="s">
        <v>157</v>
      </c>
      <c r="P2" s="39"/>
      <c r="Q2" s="164" t="s">
        <v>387</v>
      </c>
      <c r="R2" s="164" t="s">
        <v>157</v>
      </c>
      <c r="S2" s="39"/>
      <c r="T2" s="164" t="s">
        <v>387</v>
      </c>
      <c r="U2" s="164" t="s">
        <v>157</v>
      </c>
      <c r="V2" s="39"/>
      <c r="W2" s="164" t="s">
        <v>387</v>
      </c>
      <c r="X2" s="164" t="s">
        <v>157</v>
      </c>
      <c r="Y2" s="39"/>
      <c r="Z2" s="164" t="s">
        <v>387</v>
      </c>
      <c r="AA2" s="164" t="s">
        <v>157</v>
      </c>
      <c r="AB2" s="39"/>
      <c r="AC2" s="164" t="s">
        <v>387</v>
      </c>
      <c r="AD2" s="164" t="s">
        <v>157</v>
      </c>
      <c r="AE2" s="265"/>
      <c r="AF2" s="164" t="s">
        <v>387</v>
      </c>
      <c r="AG2" s="164" t="s">
        <v>157</v>
      </c>
      <c r="AH2" s="265"/>
      <c r="AI2" s="164" t="s">
        <v>387</v>
      </c>
      <c r="AJ2" s="164" t="s">
        <v>157</v>
      </c>
      <c r="AK2" s="266"/>
      <c r="AL2" s="266"/>
      <c r="AM2" s="266"/>
    </row>
    <row r="3">
      <c r="A3" s="74">
        <v>45658.0</v>
      </c>
      <c r="B3" s="19"/>
      <c r="C3" s="19"/>
      <c r="D3" s="74">
        <v>45689.0</v>
      </c>
      <c r="E3" s="19"/>
      <c r="F3" s="19"/>
      <c r="G3" s="267">
        <v>45717.0</v>
      </c>
      <c r="H3" s="19"/>
      <c r="I3" s="19"/>
      <c r="J3" s="268">
        <v>45748.0</v>
      </c>
      <c r="K3" s="60">
        <v>17.0</v>
      </c>
      <c r="L3" s="60">
        <v>2305.0</v>
      </c>
      <c r="M3" s="267">
        <v>45778.0</v>
      </c>
      <c r="N3" s="19"/>
      <c r="O3" s="19"/>
      <c r="P3" s="267">
        <v>45809.0</v>
      </c>
      <c r="Q3" s="19"/>
      <c r="R3" s="19"/>
      <c r="S3" s="268">
        <v>45839.0</v>
      </c>
      <c r="T3" s="60">
        <v>25.0</v>
      </c>
      <c r="U3" s="60">
        <v>3618.0</v>
      </c>
      <c r="V3" s="268">
        <v>45870.0</v>
      </c>
      <c r="W3" s="164">
        <v>20.0</v>
      </c>
      <c r="X3" s="164">
        <v>2765.0</v>
      </c>
      <c r="Y3" s="268">
        <v>45901.0</v>
      </c>
      <c r="Z3" s="164">
        <v>26.0</v>
      </c>
      <c r="AA3" s="164">
        <v>3630.0</v>
      </c>
      <c r="AB3" s="269">
        <v>45931.0</v>
      </c>
      <c r="AC3" s="164">
        <v>13.0</v>
      </c>
      <c r="AD3" s="164">
        <v>1874.0</v>
      </c>
      <c r="AE3" s="267">
        <v>45962.0</v>
      </c>
      <c r="AF3" s="19"/>
      <c r="AG3" s="19"/>
      <c r="AH3" s="268">
        <v>45992.0</v>
      </c>
      <c r="AI3" s="60">
        <v>20.0</v>
      </c>
      <c r="AJ3" s="60">
        <v>2787.0</v>
      </c>
      <c r="AK3" s="122"/>
      <c r="AL3" s="122"/>
      <c r="AM3" s="122"/>
    </row>
    <row r="4">
      <c r="A4" s="74">
        <v>45659.0</v>
      </c>
      <c r="B4" s="19"/>
      <c r="C4" s="19"/>
      <c r="D4" s="74">
        <v>45690.0</v>
      </c>
      <c r="E4" s="19"/>
      <c r="F4" s="19"/>
      <c r="G4" s="267">
        <v>45718.0</v>
      </c>
      <c r="H4" s="19"/>
      <c r="I4" s="19"/>
      <c r="J4" s="268">
        <v>45749.0</v>
      </c>
      <c r="K4" s="164">
        <v>20.0</v>
      </c>
      <c r="L4" s="164">
        <v>2760.0</v>
      </c>
      <c r="M4" s="268">
        <v>45779.0</v>
      </c>
      <c r="N4" s="60">
        <v>15.0</v>
      </c>
      <c r="O4" s="60">
        <v>2292.0</v>
      </c>
      <c r="P4" s="268">
        <v>45810.0</v>
      </c>
      <c r="Q4" s="164">
        <v>19.0</v>
      </c>
      <c r="R4" s="164">
        <v>2749.0</v>
      </c>
      <c r="S4" s="268">
        <v>45840.0</v>
      </c>
      <c r="T4" s="60">
        <v>24.0</v>
      </c>
      <c r="U4" s="60">
        <v>3450.0</v>
      </c>
      <c r="V4" s="270">
        <v>45871.0</v>
      </c>
      <c r="W4" s="72"/>
      <c r="X4" s="72"/>
      <c r="Y4" s="269">
        <v>45902.0</v>
      </c>
      <c r="Z4" s="164">
        <v>27.0</v>
      </c>
      <c r="AA4" s="164">
        <v>2716.0</v>
      </c>
      <c r="AB4" s="269">
        <v>45932.0</v>
      </c>
      <c r="AC4" s="164">
        <v>22.0</v>
      </c>
      <c r="AD4" s="164">
        <v>2630.0</v>
      </c>
      <c r="AE4" s="267">
        <v>45963.0</v>
      </c>
      <c r="AF4" s="19"/>
      <c r="AG4" s="19"/>
      <c r="AH4" s="268">
        <v>45993.0</v>
      </c>
      <c r="AI4" s="60">
        <v>22.0</v>
      </c>
      <c r="AJ4" s="60">
        <v>3010.0</v>
      </c>
      <c r="AK4" s="122"/>
      <c r="AL4" s="122"/>
      <c r="AM4" s="122"/>
    </row>
    <row r="5">
      <c r="A5" s="74">
        <v>45660.0</v>
      </c>
      <c r="B5" s="19"/>
      <c r="C5" s="19"/>
      <c r="D5" s="68">
        <v>45691.0</v>
      </c>
      <c r="E5" s="60">
        <v>17.0</v>
      </c>
      <c r="F5" s="60">
        <v>2435.0</v>
      </c>
      <c r="G5" s="268">
        <v>45719.0</v>
      </c>
      <c r="H5" s="60">
        <v>16.0</v>
      </c>
      <c r="I5" s="60">
        <v>2315.0</v>
      </c>
      <c r="J5" s="270">
        <v>45750.0</v>
      </c>
      <c r="K5" s="72"/>
      <c r="L5" s="72"/>
      <c r="M5" s="270">
        <v>45780.0</v>
      </c>
      <c r="N5" s="72"/>
      <c r="O5" s="72"/>
      <c r="P5" s="268">
        <v>45811.0</v>
      </c>
      <c r="Q5" s="164">
        <v>16.0</v>
      </c>
      <c r="R5" s="164">
        <v>1795.0</v>
      </c>
      <c r="S5" s="268">
        <v>45841.0</v>
      </c>
      <c r="T5" s="60">
        <v>21.0</v>
      </c>
      <c r="U5" s="60">
        <v>3023.0</v>
      </c>
      <c r="V5" s="270">
        <v>45872.0</v>
      </c>
      <c r="W5" s="72"/>
      <c r="X5" s="72"/>
      <c r="Y5" s="269">
        <v>45903.0</v>
      </c>
      <c r="Z5" s="164">
        <v>26.0</v>
      </c>
      <c r="AA5" s="164">
        <v>3614.0</v>
      </c>
      <c r="AB5" s="269">
        <v>45933.0</v>
      </c>
      <c r="AC5" s="164">
        <v>21.0</v>
      </c>
      <c r="AD5" s="164">
        <v>2905.0</v>
      </c>
      <c r="AE5" s="269">
        <v>45964.0</v>
      </c>
      <c r="AF5" s="164">
        <v>18.0</v>
      </c>
      <c r="AG5" s="164">
        <v>2390.0</v>
      </c>
      <c r="AH5" s="268">
        <v>45994.0</v>
      </c>
      <c r="AI5" s="60">
        <v>26.0</v>
      </c>
      <c r="AJ5" s="60">
        <v>3900.0</v>
      </c>
      <c r="AK5" s="122"/>
      <c r="AL5" s="122"/>
      <c r="AM5" s="122"/>
    </row>
    <row r="6">
      <c r="A6" s="74">
        <v>45661.0</v>
      </c>
      <c r="B6" s="19"/>
      <c r="C6" s="19"/>
      <c r="D6" s="68">
        <v>45692.0</v>
      </c>
      <c r="E6" s="60">
        <v>20.0</v>
      </c>
      <c r="F6" s="60">
        <v>2405.0</v>
      </c>
      <c r="G6" s="268">
        <v>45720.0</v>
      </c>
      <c r="H6" s="60">
        <v>17.0</v>
      </c>
      <c r="I6" s="60">
        <v>2318.0</v>
      </c>
      <c r="J6" s="270">
        <v>45751.0</v>
      </c>
      <c r="K6" s="72"/>
      <c r="L6" s="72"/>
      <c r="M6" s="270">
        <v>45781.0</v>
      </c>
      <c r="N6" s="72"/>
      <c r="O6" s="72"/>
      <c r="P6" s="268">
        <v>45812.0</v>
      </c>
      <c r="Q6" s="164">
        <v>20.0</v>
      </c>
      <c r="R6" s="164">
        <v>2690.0</v>
      </c>
      <c r="S6" s="268">
        <v>45842.0</v>
      </c>
      <c r="T6" s="60">
        <v>19.0</v>
      </c>
      <c r="U6" s="60">
        <v>2600.0</v>
      </c>
      <c r="V6" s="268">
        <v>45873.0</v>
      </c>
      <c r="W6" s="164">
        <v>19.0</v>
      </c>
      <c r="X6" s="164">
        <v>2760.0</v>
      </c>
      <c r="Y6" s="269">
        <v>45904.0</v>
      </c>
      <c r="Z6" s="164">
        <v>25.0</v>
      </c>
      <c r="AA6" s="164">
        <v>3510.0</v>
      </c>
      <c r="AB6" s="267">
        <v>45934.0</v>
      </c>
      <c r="AC6" s="19"/>
      <c r="AD6" s="19"/>
      <c r="AE6" s="269">
        <v>45965.0</v>
      </c>
      <c r="AF6" s="164">
        <v>22.0</v>
      </c>
      <c r="AG6" s="164">
        <v>3060.0</v>
      </c>
      <c r="AH6" s="268">
        <v>45995.0</v>
      </c>
      <c r="AI6" s="60">
        <v>25.0</v>
      </c>
      <c r="AJ6" s="60">
        <v>3680.0</v>
      </c>
      <c r="AK6" s="122"/>
      <c r="AL6" s="122"/>
      <c r="AM6" s="122"/>
    </row>
    <row r="7">
      <c r="A7" s="74">
        <v>45662.0</v>
      </c>
      <c r="B7" s="19"/>
      <c r="C7" s="19"/>
      <c r="D7" s="68">
        <v>45693.0</v>
      </c>
      <c r="E7" s="60">
        <v>18.0</v>
      </c>
      <c r="F7" s="60">
        <v>1880.0</v>
      </c>
      <c r="G7" s="268">
        <v>45721.0</v>
      </c>
      <c r="H7" s="60">
        <v>17.0</v>
      </c>
      <c r="I7" s="60">
        <v>2459.0</v>
      </c>
      <c r="J7" s="270">
        <v>45752.0</v>
      </c>
      <c r="K7" s="72"/>
      <c r="L7" s="72"/>
      <c r="M7" s="268">
        <v>45782.0</v>
      </c>
      <c r="N7" s="164">
        <v>16.0</v>
      </c>
      <c r="O7" s="164">
        <v>2055.0</v>
      </c>
      <c r="P7" s="268">
        <v>45813.0</v>
      </c>
      <c r="Q7" s="164">
        <v>22.0</v>
      </c>
      <c r="R7" s="164">
        <v>2555.0</v>
      </c>
      <c r="S7" s="271">
        <v>45843.0</v>
      </c>
      <c r="T7" s="272"/>
      <c r="U7" s="272"/>
      <c r="V7" s="268">
        <v>45874.0</v>
      </c>
      <c r="W7" s="164">
        <v>20.0</v>
      </c>
      <c r="X7" s="164">
        <v>2849.0</v>
      </c>
      <c r="Y7" s="269">
        <v>45905.0</v>
      </c>
      <c r="Z7" s="164">
        <v>22.0</v>
      </c>
      <c r="AA7" s="164">
        <v>2955.0</v>
      </c>
      <c r="AB7" s="267">
        <v>45935.0</v>
      </c>
      <c r="AC7" s="19"/>
      <c r="AD7" s="19"/>
      <c r="AE7" s="269">
        <v>45966.0</v>
      </c>
      <c r="AF7" s="164">
        <v>20.0</v>
      </c>
      <c r="AG7" s="164">
        <v>2905.0</v>
      </c>
      <c r="AH7" s="268">
        <v>45996.0</v>
      </c>
      <c r="AI7" s="60">
        <v>24.0</v>
      </c>
      <c r="AJ7" s="60">
        <v>3490.0</v>
      </c>
      <c r="AK7" s="122"/>
      <c r="AL7" s="122"/>
      <c r="AM7" s="122"/>
    </row>
    <row r="8">
      <c r="A8" s="68">
        <v>45663.0</v>
      </c>
      <c r="B8" s="60">
        <v>9.0</v>
      </c>
      <c r="C8" s="60">
        <v>950.0</v>
      </c>
      <c r="D8" s="68">
        <v>45694.0</v>
      </c>
      <c r="E8" s="60">
        <v>19.0</v>
      </c>
      <c r="F8" s="60">
        <v>2714.0</v>
      </c>
      <c r="G8" s="268">
        <v>45722.0</v>
      </c>
      <c r="H8" s="60">
        <v>14.0</v>
      </c>
      <c r="I8" s="60">
        <v>1736.0</v>
      </c>
      <c r="J8" s="270">
        <v>45753.0</v>
      </c>
      <c r="K8" s="273"/>
      <c r="L8" s="273"/>
      <c r="M8" s="268">
        <v>45783.0</v>
      </c>
      <c r="N8" s="164">
        <v>17.0</v>
      </c>
      <c r="O8" s="164">
        <v>2310.0</v>
      </c>
      <c r="P8" s="268">
        <v>45814.0</v>
      </c>
      <c r="Q8" s="164">
        <v>16.0</v>
      </c>
      <c r="R8" s="164">
        <v>2314.0</v>
      </c>
      <c r="S8" s="271">
        <v>45844.0</v>
      </c>
      <c r="T8" s="272"/>
      <c r="U8" s="272"/>
      <c r="V8" s="268">
        <v>45875.0</v>
      </c>
      <c r="W8" s="164">
        <v>23.0</v>
      </c>
      <c r="X8" s="164">
        <v>3380.0</v>
      </c>
      <c r="Y8" s="267">
        <v>45906.0</v>
      </c>
      <c r="Z8" s="19"/>
      <c r="AA8" s="19"/>
      <c r="AB8" s="267">
        <v>45936.0</v>
      </c>
      <c r="AC8" s="19"/>
      <c r="AD8" s="19"/>
      <c r="AE8" s="269">
        <v>45967.0</v>
      </c>
      <c r="AF8" s="164">
        <v>22.0</v>
      </c>
      <c r="AG8" s="164">
        <v>3300.0</v>
      </c>
      <c r="AH8" s="267">
        <v>45997.0</v>
      </c>
      <c r="AI8" s="19"/>
      <c r="AJ8" s="19"/>
      <c r="AK8" s="122"/>
      <c r="AL8" s="122"/>
      <c r="AM8" s="122"/>
    </row>
    <row r="9">
      <c r="A9" s="68">
        <v>45664.0</v>
      </c>
      <c r="B9" s="60">
        <v>11.0</v>
      </c>
      <c r="C9" s="60">
        <v>915.0</v>
      </c>
      <c r="D9" s="68">
        <v>45695.0</v>
      </c>
      <c r="E9" s="60">
        <v>17.0</v>
      </c>
      <c r="F9" s="60">
        <v>2515.0</v>
      </c>
      <c r="G9" s="268">
        <v>45723.0</v>
      </c>
      <c r="H9" s="60">
        <v>16.0</v>
      </c>
      <c r="I9" s="60">
        <v>1780.0</v>
      </c>
      <c r="J9" s="268">
        <v>45754.0</v>
      </c>
      <c r="K9" s="164">
        <v>21.0</v>
      </c>
      <c r="L9" s="164">
        <v>3060.0</v>
      </c>
      <c r="M9" s="268">
        <v>45784.0</v>
      </c>
      <c r="N9" s="164">
        <v>16.0</v>
      </c>
      <c r="O9" s="164">
        <v>1986.0</v>
      </c>
      <c r="P9" s="270">
        <v>45815.0</v>
      </c>
      <c r="Q9" s="72"/>
      <c r="R9" s="72"/>
      <c r="S9" s="271">
        <v>45845.0</v>
      </c>
      <c r="T9" s="272"/>
      <c r="U9" s="272"/>
      <c r="V9" s="268">
        <v>45876.0</v>
      </c>
      <c r="W9" s="164">
        <v>25.0</v>
      </c>
      <c r="X9" s="164">
        <v>3720.0</v>
      </c>
      <c r="Y9" s="267">
        <v>45907.0</v>
      </c>
      <c r="Z9" s="19"/>
      <c r="AA9" s="19"/>
      <c r="AB9" s="269">
        <v>45937.0</v>
      </c>
      <c r="AC9" s="164">
        <v>19.0</v>
      </c>
      <c r="AD9" s="164">
        <v>2700.0</v>
      </c>
      <c r="AE9" s="269">
        <v>45968.0</v>
      </c>
      <c r="AF9" s="164">
        <v>19.0</v>
      </c>
      <c r="AG9" s="164">
        <v>2720.0</v>
      </c>
      <c r="AH9" s="267">
        <v>45998.0</v>
      </c>
      <c r="AI9" s="19"/>
      <c r="AJ9" s="19"/>
      <c r="AK9" s="122"/>
      <c r="AL9" s="122"/>
      <c r="AM9" s="122"/>
    </row>
    <row r="10">
      <c r="A10" s="68">
        <v>45665.0</v>
      </c>
      <c r="B10" s="60">
        <v>14.0</v>
      </c>
      <c r="C10" s="60">
        <v>1480.0</v>
      </c>
      <c r="D10" s="68">
        <v>45696.0</v>
      </c>
      <c r="E10" s="60">
        <v>13.0</v>
      </c>
      <c r="F10" s="60">
        <v>1830.0</v>
      </c>
      <c r="G10" s="270">
        <v>45724.0</v>
      </c>
      <c r="H10" s="273"/>
      <c r="I10" s="273"/>
      <c r="J10" s="268">
        <v>45755.0</v>
      </c>
      <c r="K10" s="164">
        <v>22.0</v>
      </c>
      <c r="L10" s="164">
        <v>3000.0</v>
      </c>
      <c r="M10" s="268">
        <v>45785.0</v>
      </c>
      <c r="N10" s="164">
        <v>21.0</v>
      </c>
      <c r="O10" s="164">
        <v>3104.0</v>
      </c>
      <c r="P10" s="270">
        <v>45816.0</v>
      </c>
      <c r="Q10" s="72"/>
      <c r="R10" s="72"/>
      <c r="S10" s="268">
        <v>45846.0</v>
      </c>
      <c r="T10" s="60">
        <v>17.0</v>
      </c>
      <c r="U10" s="60">
        <v>2505.0</v>
      </c>
      <c r="V10" s="268">
        <v>45877.0</v>
      </c>
      <c r="W10" s="164">
        <v>27.0</v>
      </c>
      <c r="X10" s="164">
        <v>3810.0</v>
      </c>
      <c r="Y10" s="269">
        <v>45908.0</v>
      </c>
      <c r="Z10" s="164">
        <v>27.0</v>
      </c>
      <c r="AA10" s="164">
        <v>3890.0</v>
      </c>
      <c r="AB10" s="269">
        <v>45938.0</v>
      </c>
      <c r="AC10" s="164">
        <v>26.0</v>
      </c>
      <c r="AD10" s="164">
        <v>3535.0</v>
      </c>
      <c r="AE10" s="267">
        <v>45969.0</v>
      </c>
      <c r="AF10" s="19"/>
      <c r="AG10" s="19"/>
      <c r="AH10" s="268">
        <v>45999.0</v>
      </c>
      <c r="AI10" s="60">
        <v>20.0</v>
      </c>
      <c r="AJ10" s="60">
        <v>2789.0</v>
      </c>
      <c r="AK10" s="122"/>
      <c r="AL10" s="122"/>
      <c r="AM10" s="122"/>
    </row>
    <row r="11">
      <c r="A11" s="68">
        <v>45666.0</v>
      </c>
      <c r="B11" s="60">
        <v>15.0</v>
      </c>
      <c r="C11" s="60">
        <v>1840.0</v>
      </c>
      <c r="D11" s="274">
        <v>45697.0</v>
      </c>
      <c r="E11" s="273"/>
      <c r="F11" s="273"/>
      <c r="G11" s="270">
        <v>45725.0</v>
      </c>
      <c r="H11" s="273"/>
      <c r="I11" s="273"/>
      <c r="J11" s="268">
        <v>45756.0</v>
      </c>
      <c r="K11" s="164">
        <v>25.0</v>
      </c>
      <c r="L11" s="164">
        <v>3285.0</v>
      </c>
      <c r="M11" s="268">
        <v>45786.0</v>
      </c>
      <c r="N11" s="164">
        <v>15.0</v>
      </c>
      <c r="O11" s="164">
        <v>1954.0</v>
      </c>
      <c r="P11" s="268">
        <v>45817.0</v>
      </c>
      <c r="Q11" s="164">
        <v>19.0</v>
      </c>
      <c r="R11" s="164">
        <v>2555.0</v>
      </c>
      <c r="S11" s="268">
        <v>45847.0</v>
      </c>
      <c r="T11" s="60">
        <v>23.0</v>
      </c>
      <c r="U11" s="60">
        <v>3420.0</v>
      </c>
      <c r="V11" s="270">
        <v>45878.0</v>
      </c>
      <c r="W11" s="72"/>
      <c r="X11" s="72"/>
      <c r="Y11" s="269">
        <v>45909.0</v>
      </c>
      <c r="Z11" s="164">
        <v>28.0</v>
      </c>
      <c r="AA11" s="164">
        <v>3620.0</v>
      </c>
      <c r="AB11" s="269">
        <v>45939.0</v>
      </c>
      <c r="AC11" s="164">
        <v>26.0</v>
      </c>
      <c r="AD11" s="164">
        <v>3330.0</v>
      </c>
      <c r="AE11" s="267">
        <v>45970.0</v>
      </c>
      <c r="AF11" s="19"/>
      <c r="AG11" s="19"/>
      <c r="AH11" s="268">
        <v>46000.0</v>
      </c>
      <c r="AI11" s="60">
        <v>21.0</v>
      </c>
      <c r="AJ11" s="60">
        <v>2965.0</v>
      </c>
      <c r="AK11" s="122"/>
      <c r="AL11" s="122"/>
      <c r="AM11" s="122"/>
    </row>
    <row r="12">
      <c r="A12" s="68">
        <v>45667.0</v>
      </c>
      <c r="B12" s="60">
        <v>19.0</v>
      </c>
      <c r="C12" s="60">
        <v>2645.0</v>
      </c>
      <c r="D12" s="68">
        <v>45698.0</v>
      </c>
      <c r="E12" s="60">
        <v>15.0</v>
      </c>
      <c r="F12" s="60">
        <v>1830.0</v>
      </c>
      <c r="G12" s="268">
        <v>45726.0</v>
      </c>
      <c r="H12" s="60">
        <v>19.0</v>
      </c>
      <c r="I12" s="60">
        <v>2765.0</v>
      </c>
      <c r="J12" s="268">
        <v>45757.0</v>
      </c>
      <c r="K12" s="164">
        <v>23.0</v>
      </c>
      <c r="L12" s="164">
        <v>3220.0</v>
      </c>
      <c r="M12" s="270">
        <v>45787.0</v>
      </c>
      <c r="N12" s="72"/>
      <c r="O12" s="72"/>
      <c r="P12" s="268">
        <v>45818.0</v>
      </c>
      <c r="Q12" s="164">
        <v>24.0</v>
      </c>
      <c r="R12" s="164">
        <v>2975.0</v>
      </c>
      <c r="S12" s="268">
        <v>45848.0</v>
      </c>
      <c r="T12" s="60">
        <v>26.0</v>
      </c>
      <c r="U12" s="60">
        <v>3575.0</v>
      </c>
      <c r="V12" s="270">
        <v>45879.0</v>
      </c>
      <c r="W12" s="72"/>
      <c r="X12" s="72"/>
      <c r="Y12" s="269">
        <v>45910.0</v>
      </c>
      <c r="Z12" s="164">
        <v>25.0</v>
      </c>
      <c r="AA12" s="164">
        <v>3418.0</v>
      </c>
      <c r="AB12" s="267">
        <v>45940.0</v>
      </c>
      <c r="AC12" s="19"/>
      <c r="AD12" s="19"/>
      <c r="AE12" s="269">
        <v>45971.0</v>
      </c>
      <c r="AF12" s="164">
        <v>21.0</v>
      </c>
      <c r="AG12" s="164">
        <v>2975.0</v>
      </c>
      <c r="AH12" s="268">
        <v>46001.0</v>
      </c>
      <c r="AI12" s="60">
        <v>28.0</v>
      </c>
      <c r="AJ12" s="60">
        <v>4130.0</v>
      </c>
      <c r="AK12" s="122"/>
      <c r="AL12" s="122"/>
      <c r="AM12" s="122"/>
    </row>
    <row r="13">
      <c r="A13" s="74">
        <v>45668.0</v>
      </c>
      <c r="B13" s="237"/>
      <c r="C13" s="237"/>
      <c r="D13" s="68">
        <v>45699.0</v>
      </c>
      <c r="E13" s="60">
        <v>18.0</v>
      </c>
      <c r="F13" s="60">
        <v>2494.0</v>
      </c>
      <c r="G13" s="268">
        <v>45727.0</v>
      </c>
      <c r="H13" s="60">
        <v>16.0</v>
      </c>
      <c r="I13" s="60">
        <v>2050.0</v>
      </c>
      <c r="J13" s="268">
        <v>45758.0</v>
      </c>
      <c r="K13" s="164">
        <v>20.0</v>
      </c>
      <c r="L13" s="164">
        <v>2725.0</v>
      </c>
      <c r="M13" s="270">
        <v>45788.0</v>
      </c>
      <c r="N13" s="72"/>
      <c r="O13" s="72"/>
      <c r="P13" s="268">
        <v>45819.0</v>
      </c>
      <c r="Q13" s="164">
        <v>22.0</v>
      </c>
      <c r="R13" s="164">
        <v>3150.0</v>
      </c>
      <c r="S13" s="268">
        <v>45849.0</v>
      </c>
      <c r="T13" s="60">
        <v>20.0</v>
      </c>
      <c r="U13" s="60">
        <v>3000.0</v>
      </c>
      <c r="V13" s="268">
        <v>45880.0</v>
      </c>
      <c r="W13" s="164">
        <v>24.0</v>
      </c>
      <c r="X13" s="164">
        <v>3570.0</v>
      </c>
      <c r="Y13" s="269">
        <v>45911.0</v>
      </c>
      <c r="Z13" s="164">
        <v>22.0</v>
      </c>
      <c r="AA13" s="164">
        <v>2720.0</v>
      </c>
      <c r="AB13" s="267">
        <v>45941.0</v>
      </c>
      <c r="AC13" s="19"/>
      <c r="AD13" s="19"/>
      <c r="AE13" s="269">
        <v>45972.0</v>
      </c>
      <c r="AF13" s="164">
        <v>22.0</v>
      </c>
      <c r="AG13" s="164">
        <v>3055.0</v>
      </c>
      <c r="AH13" s="268">
        <v>46002.0</v>
      </c>
      <c r="AI13" s="60">
        <v>26.0</v>
      </c>
      <c r="AJ13" s="60">
        <v>3780.0</v>
      </c>
      <c r="AK13" s="122"/>
      <c r="AL13" s="122"/>
      <c r="AM13" s="122"/>
    </row>
    <row r="14">
      <c r="A14" s="74">
        <v>45669.0</v>
      </c>
      <c r="B14" s="237"/>
      <c r="C14" s="237"/>
      <c r="D14" s="68">
        <v>45700.0</v>
      </c>
      <c r="E14" s="60">
        <v>18.0</v>
      </c>
      <c r="F14" s="60">
        <v>2800.0</v>
      </c>
      <c r="G14" s="268">
        <v>45728.0</v>
      </c>
      <c r="H14" s="60">
        <v>16.0</v>
      </c>
      <c r="I14" s="60">
        <v>2233.0</v>
      </c>
      <c r="J14" s="270">
        <v>45759.0</v>
      </c>
      <c r="K14" s="72"/>
      <c r="L14" s="72"/>
      <c r="M14" s="268">
        <v>45789.0</v>
      </c>
      <c r="N14" s="164">
        <v>19.0</v>
      </c>
      <c r="O14" s="164">
        <v>2765.0</v>
      </c>
      <c r="P14" s="268">
        <v>45820.0</v>
      </c>
      <c r="Q14" s="164">
        <v>11.0</v>
      </c>
      <c r="R14" s="164">
        <v>2195.0</v>
      </c>
      <c r="S14" s="270">
        <v>45850.0</v>
      </c>
      <c r="T14" s="273"/>
      <c r="U14" s="273"/>
      <c r="V14" s="268">
        <v>45881.0</v>
      </c>
      <c r="W14" s="164">
        <v>23.0</v>
      </c>
      <c r="X14" s="164">
        <v>2955.0</v>
      </c>
      <c r="Y14" s="269">
        <v>45912.0</v>
      </c>
      <c r="Z14" s="164">
        <v>24.0</v>
      </c>
      <c r="AA14" s="164">
        <v>3400.0</v>
      </c>
      <c r="AB14" s="267">
        <v>45942.0</v>
      </c>
      <c r="AC14" s="19"/>
      <c r="AD14" s="19"/>
      <c r="AE14" s="267">
        <v>45973.0</v>
      </c>
      <c r="AF14" s="19"/>
      <c r="AG14" s="19"/>
      <c r="AH14" s="268">
        <v>46003.0</v>
      </c>
      <c r="AI14" s="60">
        <v>22.0</v>
      </c>
      <c r="AJ14" s="60">
        <v>3075.0</v>
      </c>
      <c r="AK14" s="122"/>
      <c r="AL14" s="122"/>
      <c r="AM14" s="122"/>
    </row>
    <row r="15">
      <c r="A15" s="68">
        <v>45670.0</v>
      </c>
      <c r="B15" s="60">
        <v>14.0</v>
      </c>
      <c r="C15" s="60">
        <v>1750.0</v>
      </c>
      <c r="D15" s="68">
        <v>45701.0</v>
      </c>
      <c r="E15" s="60">
        <v>18.0</v>
      </c>
      <c r="F15" s="60">
        <v>2465.0</v>
      </c>
      <c r="G15" s="268">
        <v>45729.0</v>
      </c>
      <c r="H15" s="60">
        <v>15.0</v>
      </c>
      <c r="I15" s="60">
        <v>1865.0</v>
      </c>
      <c r="J15" s="270">
        <v>45760.0</v>
      </c>
      <c r="K15" s="273"/>
      <c r="L15" s="273"/>
      <c r="M15" s="268">
        <v>45790.0</v>
      </c>
      <c r="N15" s="164">
        <v>16.0</v>
      </c>
      <c r="O15" s="164">
        <v>2000.0</v>
      </c>
      <c r="P15" s="268">
        <v>45821.0</v>
      </c>
      <c r="Q15" s="164">
        <v>16.0</v>
      </c>
      <c r="R15" s="164">
        <v>2299.0</v>
      </c>
      <c r="S15" s="270">
        <v>45851.0</v>
      </c>
      <c r="T15" s="273"/>
      <c r="U15" s="273"/>
      <c r="V15" s="268">
        <v>45882.0</v>
      </c>
      <c r="W15" s="164">
        <v>22.0</v>
      </c>
      <c r="X15" s="164">
        <v>3020.0</v>
      </c>
      <c r="Y15" s="267">
        <v>45913.0</v>
      </c>
      <c r="Z15" s="19"/>
      <c r="AA15" s="19"/>
      <c r="AB15" s="269">
        <v>45943.0</v>
      </c>
      <c r="AC15" s="164">
        <v>18.0</v>
      </c>
      <c r="AD15" s="164">
        <v>2625.0</v>
      </c>
      <c r="AE15" s="269">
        <v>45974.0</v>
      </c>
      <c r="AF15" s="164">
        <v>21.0</v>
      </c>
      <c r="AG15" s="164">
        <v>2999.0</v>
      </c>
      <c r="AH15" s="267">
        <v>46004.0</v>
      </c>
      <c r="AI15" s="19"/>
      <c r="AJ15" s="19"/>
      <c r="AK15" s="122"/>
      <c r="AL15" s="122"/>
      <c r="AM15" s="122"/>
    </row>
    <row r="16">
      <c r="A16" s="68">
        <v>45671.0</v>
      </c>
      <c r="B16" s="60">
        <v>17.0</v>
      </c>
      <c r="C16" s="60">
        <v>1940.0</v>
      </c>
      <c r="D16" s="68">
        <v>45702.0</v>
      </c>
      <c r="E16" s="60">
        <v>17.0</v>
      </c>
      <c r="F16" s="60">
        <v>1760.0</v>
      </c>
      <c r="G16" s="268">
        <v>45730.0</v>
      </c>
      <c r="H16" s="60">
        <v>15.0</v>
      </c>
      <c r="I16" s="60">
        <v>2245.0</v>
      </c>
      <c r="J16" s="268">
        <v>45761.0</v>
      </c>
      <c r="K16" s="164">
        <v>17.0</v>
      </c>
      <c r="L16" s="164">
        <v>2180.0</v>
      </c>
      <c r="M16" s="268">
        <v>45791.0</v>
      </c>
      <c r="N16" s="164">
        <v>19.0</v>
      </c>
      <c r="O16" s="164">
        <v>2660.0</v>
      </c>
      <c r="P16" s="270">
        <v>45822.0</v>
      </c>
      <c r="Q16" s="72"/>
      <c r="R16" s="72"/>
      <c r="S16" s="268">
        <v>45852.0</v>
      </c>
      <c r="T16" s="60">
        <v>21.0</v>
      </c>
      <c r="U16" s="60">
        <v>2840.0</v>
      </c>
      <c r="V16" s="268">
        <v>45883.0</v>
      </c>
      <c r="W16" s="164">
        <v>22.0</v>
      </c>
      <c r="X16" s="164">
        <v>3170.0</v>
      </c>
      <c r="Y16" s="267">
        <v>45914.0</v>
      </c>
      <c r="Z16" s="19"/>
      <c r="AA16" s="19"/>
      <c r="AB16" s="269">
        <v>45944.0</v>
      </c>
      <c r="AC16" s="164">
        <v>21.0</v>
      </c>
      <c r="AD16" s="164">
        <v>2755.0</v>
      </c>
      <c r="AE16" s="269">
        <v>45975.0</v>
      </c>
      <c r="AF16" s="164">
        <v>15.0</v>
      </c>
      <c r="AG16" s="164">
        <v>2140.0</v>
      </c>
      <c r="AH16" s="267">
        <v>46005.0</v>
      </c>
      <c r="AI16" s="19"/>
      <c r="AJ16" s="19"/>
      <c r="AK16" s="122"/>
      <c r="AL16" s="122"/>
      <c r="AM16" s="122"/>
    </row>
    <row r="17">
      <c r="A17" s="68">
        <v>45672.0</v>
      </c>
      <c r="B17" s="60">
        <v>17.0</v>
      </c>
      <c r="C17" s="60">
        <v>1760.0</v>
      </c>
      <c r="D17" s="274">
        <v>45703.0</v>
      </c>
      <c r="E17" s="273"/>
      <c r="F17" s="237"/>
      <c r="G17" s="270">
        <v>45731.0</v>
      </c>
      <c r="H17" s="273"/>
      <c r="I17" s="273"/>
      <c r="J17" s="268">
        <v>45762.0</v>
      </c>
      <c r="K17" s="164">
        <v>19.0</v>
      </c>
      <c r="L17" s="164">
        <v>2690.0</v>
      </c>
      <c r="M17" s="268">
        <v>45792.0</v>
      </c>
      <c r="N17" s="164">
        <v>18.0</v>
      </c>
      <c r="O17" s="164">
        <v>2260.0</v>
      </c>
      <c r="P17" s="270">
        <v>45823.0</v>
      </c>
      <c r="Q17" s="72"/>
      <c r="R17" s="72"/>
      <c r="S17" s="268">
        <v>45853.0</v>
      </c>
      <c r="T17" s="60">
        <v>23.0</v>
      </c>
      <c r="U17" s="60">
        <v>3131.0</v>
      </c>
      <c r="V17" s="268">
        <v>45884.0</v>
      </c>
      <c r="W17" s="164">
        <v>19.0</v>
      </c>
      <c r="X17" s="164">
        <v>2810.0</v>
      </c>
      <c r="Y17" s="269">
        <v>45915.0</v>
      </c>
      <c r="Z17" s="164">
        <v>29.0</v>
      </c>
      <c r="AA17" s="164">
        <v>3415.0</v>
      </c>
      <c r="AB17" s="269">
        <v>45945.0</v>
      </c>
      <c r="AC17" s="164">
        <v>25.0</v>
      </c>
      <c r="AD17" s="164">
        <v>3684.0</v>
      </c>
      <c r="AE17" s="267">
        <v>45976.0</v>
      </c>
      <c r="AF17" s="19"/>
      <c r="AG17" s="19"/>
      <c r="AH17" s="268">
        <v>46006.0</v>
      </c>
      <c r="AI17" s="60"/>
      <c r="AJ17" s="60"/>
      <c r="AK17" s="122"/>
      <c r="AL17" s="122"/>
      <c r="AM17" s="122"/>
    </row>
    <row r="18">
      <c r="A18" s="68">
        <v>45673.0</v>
      </c>
      <c r="B18" s="60">
        <v>21.0</v>
      </c>
      <c r="C18" s="60">
        <v>2800.0</v>
      </c>
      <c r="D18" s="274">
        <v>45704.0</v>
      </c>
      <c r="E18" s="273"/>
      <c r="F18" s="237"/>
      <c r="G18" s="270">
        <v>45732.0</v>
      </c>
      <c r="H18" s="273"/>
      <c r="I18" s="273"/>
      <c r="J18" s="268">
        <v>45763.0</v>
      </c>
      <c r="K18" s="164">
        <v>19.0</v>
      </c>
      <c r="L18" s="164">
        <v>2865.0</v>
      </c>
      <c r="M18" s="268">
        <v>45793.0</v>
      </c>
      <c r="N18" s="164">
        <v>18.0</v>
      </c>
      <c r="O18" s="164">
        <v>2610.0</v>
      </c>
      <c r="P18" s="268">
        <v>45824.0</v>
      </c>
      <c r="Q18" s="164">
        <v>19.0</v>
      </c>
      <c r="R18" s="164">
        <v>2290.0</v>
      </c>
      <c r="S18" s="268">
        <v>45854.0</v>
      </c>
      <c r="T18" s="60">
        <v>18.0</v>
      </c>
      <c r="U18" s="60">
        <v>2475.0</v>
      </c>
      <c r="V18" s="270">
        <v>45885.0</v>
      </c>
      <c r="W18" s="72"/>
      <c r="X18" s="72"/>
      <c r="Y18" s="269">
        <v>45916.0</v>
      </c>
      <c r="Z18" s="164">
        <v>27.0</v>
      </c>
      <c r="AA18" s="164">
        <v>3552.0</v>
      </c>
      <c r="AB18" s="269">
        <v>45946.0</v>
      </c>
      <c r="AC18" s="164">
        <v>24.0</v>
      </c>
      <c r="AD18" s="164">
        <v>3205.0</v>
      </c>
      <c r="AE18" s="267">
        <v>45977.0</v>
      </c>
      <c r="AF18" s="19"/>
      <c r="AG18" s="19"/>
      <c r="AH18" s="268">
        <v>46007.0</v>
      </c>
      <c r="AI18" s="60"/>
      <c r="AJ18" s="60"/>
      <c r="AK18" s="122"/>
      <c r="AL18" s="122"/>
      <c r="AM18" s="122"/>
    </row>
    <row r="19">
      <c r="A19" s="68">
        <v>45674.0</v>
      </c>
      <c r="B19" s="60">
        <v>15.0</v>
      </c>
      <c r="C19" s="60">
        <v>2220.0</v>
      </c>
      <c r="D19" s="68">
        <v>45705.0</v>
      </c>
      <c r="E19" s="60">
        <v>19.0</v>
      </c>
      <c r="F19" s="60">
        <v>2840.0</v>
      </c>
      <c r="G19" s="268">
        <v>45733.0</v>
      </c>
      <c r="H19" s="60">
        <v>20.0</v>
      </c>
      <c r="I19" s="60">
        <v>2855.0</v>
      </c>
      <c r="J19" s="268">
        <v>45764.0</v>
      </c>
      <c r="K19" s="164">
        <v>19.0</v>
      </c>
      <c r="L19" s="164">
        <v>2800.0</v>
      </c>
      <c r="M19" s="270">
        <v>45794.0</v>
      </c>
      <c r="N19" s="72"/>
      <c r="O19" s="72"/>
      <c r="P19" s="268">
        <v>45825.0</v>
      </c>
      <c r="Q19" s="164">
        <v>20.0</v>
      </c>
      <c r="R19" s="164">
        <v>2960.0</v>
      </c>
      <c r="S19" s="268">
        <v>45855.0</v>
      </c>
      <c r="T19" s="60">
        <v>22.0</v>
      </c>
      <c r="U19" s="60">
        <v>2760.0</v>
      </c>
      <c r="V19" s="270">
        <v>45886.0</v>
      </c>
      <c r="W19" s="72"/>
      <c r="X19" s="72"/>
      <c r="Y19" s="269">
        <v>45917.0</v>
      </c>
      <c r="Z19" s="164">
        <v>28.0</v>
      </c>
      <c r="AA19" s="164">
        <v>3590.0</v>
      </c>
      <c r="AB19" s="269">
        <v>45947.0</v>
      </c>
      <c r="AC19" s="164">
        <v>19.0</v>
      </c>
      <c r="AD19" s="164">
        <v>2702.0</v>
      </c>
      <c r="AE19" s="269">
        <v>45978.0</v>
      </c>
      <c r="AF19" s="164">
        <v>20.0</v>
      </c>
      <c r="AG19" s="164">
        <v>2895.0</v>
      </c>
      <c r="AH19" s="268">
        <v>46008.0</v>
      </c>
      <c r="AI19" s="60"/>
      <c r="AJ19" s="60"/>
      <c r="AK19" s="122"/>
      <c r="AL19" s="122"/>
      <c r="AM19" s="122"/>
    </row>
    <row r="20">
      <c r="A20" s="74">
        <v>45675.0</v>
      </c>
      <c r="B20" s="237"/>
      <c r="C20" s="237"/>
      <c r="D20" s="68">
        <v>45706.0</v>
      </c>
      <c r="E20" s="60">
        <v>20.0</v>
      </c>
      <c r="F20" s="60">
        <v>2910.0</v>
      </c>
      <c r="G20" s="268">
        <v>45734.0</v>
      </c>
      <c r="H20" s="60">
        <v>22.0</v>
      </c>
      <c r="I20" s="60">
        <v>3210.0</v>
      </c>
      <c r="J20" s="268">
        <v>45765.0</v>
      </c>
      <c r="K20" s="164">
        <v>18.0</v>
      </c>
      <c r="L20" s="164">
        <v>2615.0</v>
      </c>
      <c r="M20" s="270">
        <v>45795.0</v>
      </c>
      <c r="N20" s="72"/>
      <c r="O20" s="72"/>
      <c r="P20" s="268">
        <v>45826.0</v>
      </c>
      <c r="Q20" s="164">
        <v>22.0</v>
      </c>
      <c r="R20" s="164">
        <v>3075.0</v>
      </c>
      <c r="S20" s="268">
        <v>45856.0</v>
      </c>
      <c r="T20" s="60">
        <v>17.0</v>
      </c>
      <c r="U20" s="60">
        <v>2330.0</v>
      </c>
      <c r="V20" s="268">
        <v>45887.0</v>
      </c>
      <c r="W20" s="164">
        <v>23.0</v>
      </c>
      <c r="X20" s="164">
        <v>3325.0</v>
      </c>
      <c r="Y20" s="269">
        <v>45918.0</v>
      </c>
      <c r="Z20" s="164">
        <v>25.0</v>
      </c>
      <c r="AA20" s="164">
        <v>3540.0</v>
      </c>
      <c r="AB20" s="267">
        <v>45948.0</v>
      </c>
      <c r="AC20" s="19"/>
      <c r="AD20" s="19"/>
      <c r="AE20" s="269">
        <v>45979.0</v>
      </c>
      <c r="AF20" s="164">
        <v>20.0</v>
      </c>
      <c r="AG20" s="164">
        <v>2860.0</v>
      </c>
      <c r="AH20" s="268">
        <v>46009.0</v>
      </c>
      <c r="AI20" s="60"/>
      <c r="AJ20" s="60"/>
      <c r="AK20" s="122"/>
      <c r="AL20" s="122"/>
      <c r="AM20" s="122"/>
    </row>
    <row r="21">
      <c r="A21" s="74">
        <v>45676.0</v>
      </c>
      <c r="B21" s="237"/>
      <c r="C21" s="237"/>
      <c r="D21" s="68">
        <v>45707.0</v>
      </c>
      <c r="E21" s="60">
        <v>19.0</v>
      </c>
      <c r="F21" s="60">
        <v>2455.0</v>
      </c>
      <c r="G21" s="268">
        <v>45735.0</v>
      </c>
      <c r="H21" s="60">
        <v>22.0</v>
      </c>
      <c r="I21" s="60">
        <v>3050.0</v>
      </c>
      <c r="J21" s="270">
        <v>45766.0</v>
      </c>
      <c r="K21" s="72"/>
      <c r="L21" s="72"/>
      <c r="M21" s="268">
        <v>45796.0</v>
      </c>
      <c r="N21" s="164">
        <v>13.0</v>
      </c>
      <c r="O21" s="164">
        <v>1810.0</v>
      </c>
      <c r="P21" s="268">
        <v>45827.0</v>
      </c>
      <c r="Q21" s="164">
        <v>25.0</v>
      </c>
      <c r="R21" s="164">
        <v>3615.0</v>
      </c>
      <c r="S21" s="270">
        <v>45857.0</v>
      </c>
      <c r="T21" s="273"/>
      <c r="U21" s="273"/>
      <c r="V21" s="268">
        <v>45888.0</v>
      </c>
      <c r="W21" s="164">
        <v>23.0</v>
      </c>
      <c r="X21" s="164">
        <v>3305.0</v>
      </c>
      <c r="Y21" s="269">
        <v>45919.0</v>
      </c>
      <c r="Z21" s="164">
        <v>20.0</v>
      </c>
      <c r="AA21" s="164">
        <v>2710.0</v>
      </c>
      <c r="AB21" s="267">
        <v>45949.0</v>
      </c>
      <c r="AC21" s="19"/>
      <c r="AD21" s="19"/>
      <c r="AE21" s="269">
        <v>45980.0</v>
      </c>
      <c r="AF21" s="164">
        <v>22.0</v>
      </c>
      <c r="AG21" s="164">
        <v>3189.0</v>
      </c>
      <c r="AH21" s="268">
        <v>46010.0</v>
      </c>
      <c r="AI21" s="60"/>
      <c r="AJ21" s="60"/>
      <c r="AK21" s="122"/>
      <c r="AL21" s="122"/>
      <c r="AM21" s="122"/>
    </row>
    <row r="22">
      <c r="A22" s="68">
        <v>45677.0</v>
      </c>
      <c r="B22" s="60">
        <v>14.0</v>
      </c>
      <c r="C22" s="60">
        <v>1560.0</v>
      </c>
      <c r="D22" s="68">
        <v>45708.0</v>
      </c>
      <c r="E22" s="60">
        <v>19.0</v>
      </c>
      <c r="F22" s="60">
        <v>2694.0</v>
      </c>
      <c r="G22" s="268">
        <v>45736.0</v>
      </c>
      <c r="H22" s="60">
        <v>20.0</v>
      </c>
      <c r="I22" s="60">
        <v>2890.0</v>
      </c>
      <c r="J22" s="270">
        <v>45767.0</v>
      </c>
      <c r="K22" s="273"/>
      <c r="L22" s="273"/>
      <c r="M22" s="268">
        <v>45797.0</v>
      </c>
      <c r="N22" s="164">
        <v>18.0</v>
      </c>
      <c r="O22" s="164">
        <v>2650.0</v>
      </c>
      <c r="P22" s="268">
        <v>45828.0</v>
      </c>
      <c r="Q22" s="164">
        <v>20.0</v>
      </c>
      <c r="R22" s="164">
        <v>2600.0</v>
      </c>
      <c r="S22" s="270">
        <v>45858.0</v>
      </c>
      <c r="T22" s="273"/>
      <c r="U22" s="273"/>
      <c r="V22" s="268">
        <v>45889.0</v>
      </c>
      <c r="W22" s="164">
        <v>21.0</v>
      </c>
      <c r="X22" s="164">
        <v>2650.0</v>
      </c>
      <c r="Y22" s="267">
        <v>45920.0</v>
      </c>
      <c r="Z22" s="19"/>
      <c r="AA22" s="19"/>
      <c r="AB22" s="269">
        <v>45950.0</v>
      </c>
      <c r="AC22" s="164">
        <v>20.0</v>
      </c>
      <c r="AD22" s="164">
        <v>2810.0</v>
      </c>
      <c r="AE22" s="269">
        <v>45981.0</v>
      </c>
      <c r="AF22" s="164">
        <v>20.0</v>
      </c>
      <c r="AG22" s="164">
        <v>2870.0</v>
      </c>
      <c r="AH22" s="267">
        <v>46011.0</v>
      </c>
      <c r="AI22" s="19"/>
      <c r="AJ22" s="19"/>
      <c r="AK22" s="122"/>
      <c r="AL22" s="122"/>
      <c r="AM22" s="122"/>
    </row>
    <row r="23">
      <c r="A23" s="68">
        <v>45678.0</v>
      </c>
      <c r="B23" s="60">
        <v>13.0</v>
      </c>
      <c r="C23" s="60">
        <v>1515.0</v>
      </c>
      <c r="D23" s="68">
        <v>45709.0</v>
      </c>
      <c r="E23" s="60">
        <v>18.0</v>
      </c>
      <c r="F23" s="60">
        <v>2676.0</v>
      </c>
      <c r="G23" s="268">
        <v>45737.0</v>
      </c>
      <c r="H23" s="60">
        <v>17.0</v>
      </c>
      <c r="I23" s="60">
        <v>2474.0</v>
      </c>
      <c r="J23" s="268">
        <v>45768.0</v>
      </c>
      <c r="K23" s="164">
        <v>17.0</v>
      </c>
      <c r="L23" s="164">
        <v>2095.0</v>
      </c>
      <c r="M23" s="268">
        <v>45798.0</v>
      </c>
      <c r="N23" s="164">
        <v>17.0</v>
      </c>
      <c r="O23" s="164">
        <v>2110.0</v>
      </c>
      <c r="P23" s="270">
        <v>45829.0</v>
      </c>
      <c r="Q23" s="72"/>
      <c r="R23" s="72"/>
      <c r="S23" s="268">
        <v>45859.0</v>
      </c>
      <c r="T23" s="60">
        <v>20.0</v>
      </c>
      <c r="U23" s="60">
        <v>2915.0</v>
      </c>
      <c r="V23" s="268">
        <v>45890.0</v>
      </c>
      <c r="W23" s="164">
        <v>25.0</v>
      </c>
      <c r="X23" s="164">
        <v>3510.0</v>
      </c>
      <c r="Y23" s="267">
        <v>45921.0</v>
      </c>
      <c r="Z23" s="19"/>
      <c r="AA23" s="19"/>
      <c r="AB23" s="269">
        <v>45951.0</v>
      </c>
      <c r="AC23" s="164">
        <v>19.0</v>
      </c>
      <c r="AD23" s="164">
        <v>2670.0</v>
      </c>
      <c r="AE23" s="269">
        <v>45982.0</v>
      </c>
      <c r="AF23" s="164">
        <v>20.0</v>
      </c>
      <c r="AG23" s="164">
        <v>2780.0</v>
      </c>
      <c r="AH23" s="267">
        <v>46012.0</v>
      </c>
      <c r="AI23" s="19"/>
      <c r="AJ23" s="19"/>
      <c r="AK23" s="122"/>
      <c r="AL23" s="122"/>
      <c r="AM23" s="122"/>
    </row>
    <row r="24">
      <c r="A24" s="68">
        <v>45679.0</v>
      </c>
      <c r="B24" s="60">
        <v>21.0</v>
      </c>
      <c r="C24" s="60">
        <v>2606.0</v>
      </c>
      <c r="D24" s="274">
        <v>45710.0</v>
      </c>
      <c r="E24" s="273"/>
      <c r="F24" s="237"/>
      <c r="G24" s="270">
        <v>45738.0</v>
      </c>
      <c r="H24" s="273"/>
      <c r="I24" s="273"/>
      <c r="J24" s="268">
        <v>45769.0</v>
      </c>
      <c r="K24" s="164">
        <v>21.0</v>
      </c>
      <c r="L24" s="164">
        <v>2745.0</v>
      </c>
      <c r="M24" s="268">
        <v>45799.0</v>
      </c>
      <c r="N24" s="164">
        <v>17.0</v>
      </c>
      <c r="O24" s="164">
        <v>2255.0</v>
      </c>
      <c r="P24" s="270">
        <v>45830.0</v>
      </c>
      <c r="Q24" s="72"/>
      <c r="R24" s="72"/>
      <c r="S24" s="268">
        <v>45860.0</v>
      </c>
      <c r="T24" s="60">
        <v>22.0</v>
      </c>
      <c r="U24" s="60">
        <v>3164.0</v>
      </c>
      <c r="V24" s="268">
        <v>45891.0</v>
      </c>
      <c r="W24" s="164">
        <v>23.0</v>
      </c>
      <c r="X24" s="164">
        <v>2925.0</v>
      </c>
      <c r="Y24" s="269">
        <v>45922.0</v>
      </c>
      <c r="Z24" s="164">
        <v>21.0</v>
      </c>
      <c r="AA24" s="164">
        <v>3195.0</v>
      </c>
      <c r="AB24" s="269">
        <v>45952.0</v>
      </c>
      <c r="AC24" s="164">
        <v>25.0</v>
      </c>
      <c r="AD24" s="164">
        <v>3430.0</v>
      </c>
      <c r="AE24" s="267">
        <v>45983.0</v>
      </c>
      <c r="AF24" s="19"/>
      <c r="AG24" s="19"/>
      <c r="AH24" s="268">
        <v>46013.0</v>
      </c>
      <c r="AI24" s="60"/>
      <c r="AJ24" s="60"/>
      <c r="AK24" s="122"/>
      <c r="AL24" s="122"/>
      <c r="AM24" s="122"/>
    </row>
    <row r="25">
      <c r="A25" s="68">
        <v>45680.0</v>
      </c>
      <c r="B25" s="60">
        <v>16.0</v>
      </c>
      <c r="C25" s="60">
        <v>2320.0</v>
      </c>
      <c r="D25" s="274">
        <v>45711.0</v>
      </c>
      <c r="E25" s="273"/>
      <c r="F25" s="237"/>
      <c r="G25" s="270">
        <v>45739.0</v>
      </c>
      <c r="H25" s="273"/>
      <c r="I25" s="273"/>
      <c r="J25" s="268">
        <v>45770.0</v>
      </c>
      <c r="K25" s="164">
        <v>20.0</v>
      </c>
      <c r="L25" s="164">
        <v>2705.0</v>
      </c>
      <c r="M25" s="268">
        <v>45800.0</v>
      </c>
      <c r="N25" s="164">
        <v>17.0</v>
      </c>
      <c r="O25" s="164">
        <v>2284.0</v>
      </c>
      <c r="P25" s="268">
        <v>45831.0</v>
      </c>
      <c r="Q25" s="164">
        <v>18.0</v>
      </c>
      <c r="R25" s="164">
        <v>2290.0</v>
      </c>
      <c r="S25" s="268">
        <v>45861.0</v>
      </c>
      <c r="T25" s="60">
        <v>22.0</v>
      </c>
      <c r="U25" s="60">
        <v>3165.0</v>
      </c>
      <c r="V25" s="270">
        <v>45892.0</v>
      </c>
      <c r="W25" s="72"/>
      <c r="X25" s="72"/>
      <c r="Y25" s="269">
        <v>45923.0</v>
      </c>
      <c r="Z25" s="164">
        <v>23.0</v>
      </c>
      <c r="AA25" s="164">
        <v>3520.0</v>
      </c>
      <c r="AB25" s="269">
        <v>45953.0</v>
      </c>
      <c r="AC25" s="164">
        <v>19.0</v>
      </c>
      <c r="AD25" s="164">
        <v>2840.0</v>
      </c>
      <c r="AE25" s="267">
        <v>45984.0</v>
      </c>
      <c r="AF25" s="19"/>
      <c r="AG25" s="19"/>
      <c r="AH25" s="268">
        <v>46014.0</v>
      </c>
      <c r="AI25" s="60"/>
      <c r="AJ25" s="60"/>
      <c r="AK25" s="122"/>
      <c r="AL25" s="122"/>
      <c r="AM25" s="122"/>
    </row>
    <row r="26">
      <c r="A26" s="68">
        <v>45681.0</v>
      </c>
      <c r="B26" s="60">
        <v>14.0</v>
      </c>
      <c r="C26" s="60">
        <v>2088.0</v>
      </c>
      <c r="D26" s="275">
        <v>45712.0</v>
      </c>
      <c r="E26" s="164">
        <v>15.0</v>
      </c>
      <c r="F26" s="164">
        <v>2230.0</v>
      </c>
      <c r="G26" s="268">
        <v>45740.0</v>
      </c>
      <c r="H26" s="60">
        <v>17.0</v>
      </c>
      <c r="I26" s="60">
        <v>2458.0</v>
      </c>
      <c r="J26" s="268">
        <v>45771.0</v>
      </c>
      <c r="K26" s="164">
        <v>20.0</v>
      </c>
      <c r="L26" s="164">
        <v>2495.0</v>
      </c>
      <c r="M26" s="270">
        <v>45801.0</v>
      </c>
      <c r="N26" s="72"/>
      <c r="O26" s="72"/>
      <c r="P26" s="268">
        <v>45832.0</v>
      </c>
      <c r="Q26" s="164">
        <v>23.0</v>
      </c>
      <c r="R26" s="164">
        <v>2770.0</v>
      </c>
      <c r="S26" s="268">
        <v>45862.0</v>
      </c>
      <c r="T26" s="60">
        <v>21.0</v>
      </c>
      <c r="U26" s="60">
        <v>3025.0</v>
      </c>
      <c r="V26" s="270">
        <v>45893.0</v>
      </c>
      <c r="W26" s="72"/>
      <c r="X26" s="72"/>
      <c r="Y26" s="269">
        <v>45924.0</v>
      </c>
      <c r="Z26" s="164">
        <v>21.0</v>
      </c>
      <c r="AA26" s="164">
        <v>3010.0</v>
      </c>
      <c r="AB26" s="267">
        <v>45954.0</v>
      </c>
      <c r="AC26" s="19"/>
      <c r="AD26" s="19"/>
      <c r="AE26" s="269">
        <v>45985.0</v>
      </c>
      <c r="AF26" s="164">
        <v>24.0</v>
      </c>
      <c r="AG26" s="164">
        <v>3290.0</v>
      </c>
      <c r="AH26" s="268">
        <v>46015.0</v>
      </c>
      <c r="AI26" s="60"/>
      <c r="AJ26" s="60"/>
      <c r="AK26" s="122"/>
      <c r="AL26" s="122"/>
      <c r="AM26" s="122"/>
    </row>
    <row r="27">
      <c r="A27" s="74">
        <v>45682.0</v>
      </c>
      <c r="B27" s="237"/>
      <c r="C27" s="237"/>
      <c r="D27" s="275">
        <v>45713.0</v>
      </c>
      <c r="E27" s="164">
        <v>19.0</v>
      </c>
      <c r="F27" s="164">
        <v>2625.0</v>
      </c>
      <c r="G27" s="268">
        <v>45741.0</v>
      </c>
      <c r="H27" s="60">
        <v>22.0</v>
      </c>
      <c r="I27" s="60">
        <v>3039.0</v>
      </c>
      <c r="J27" s="268">
        <v>45772.0</v>
      </c>
      <c r="K27" s="164">
        <v>18.0</v>
      </c>
      <c r="L27" s="164">
        <v>2270.0</v>
      </c>
      <c r="M27" s="270">
        <v>45802.0</v>
      </c>
      <c r="N27" s="72"/>
      <c r="O27" s="72"/>
      <c r="P27" s="268">
        <v>45833.0</v>
      </c>
      <c r="Q27" s="164">
        <v>22.0</v>
      </c>
      <c r="R27" s="164">
        <v>3130.0</v>
      </c>
      <c r="S27" s="268">
        <v>45863.0</v>
      </c>
      <c r="T27" s="60">
        <v>20.0</v>
      </c>
      <c r="U27" s="60">
        <v>2855.0</v>
      </c>
      <c r="V27" s="268">
        <v>45894.0</v>
      </c>
      <c r="W27" s="164">
        <v>18.0</v>
      </c>
      <c r="X27" s="164">
        <v>2426.0</v>
      </c>
      <c r="Y27" s="269">
        <v>45925.0</v>
      </c>
      <c r="Z27" s="164">
        <v>17.0</v>
      </c>
      <c r="AA27" s="164">
        <v>2285.0</v>
      </c>
      <c r="AB27" s="267">
        <v>45955.0</v>
      </c>
      <c r="AC27" s="19"/>
      <c r="AD27" s="19"/>
      <c r="AE27" s="269">
        <v>45986.0</v>
      </c>
      <c r="AF27" s="164">
        <v>24.0</v>
      </c>
      <c r="AG27" s="164">
        <v>3475.0</v>
      </c>
      <c r="AH27" s="268">
        <v>46016.0</v>
      </c>
      <c r="AI27" s="60"/>
      <c r="AJ27" s="60"/>
      <c r="AK27" s="122"/>
      <c r="AL27" s="122"/>
      <c r="AM27" s="122"/>
    </row>
    <row r="28">
      <c r="A28" s="74">
        <v>45683.0</v>
      </c>
      <c r="B28" s="237"/>
      <c r="C28" s="237"/>
      <c r="D28" s="275">
        <v>45714.0</v>
      </c>
      <c r="E28" s="164">
        <v>19.0</v>
      </c>
      <c r="F28" s="164">
        <v>2385.0</v>
      </c>
      <c r="G28" s="268">
        <v>45742.0</v>
      </c>
      <c r="H28" s="60">
        <v>24.0</v>
      </c>
      <c r="I28" s="60">
        <v>3315.0</v>
      </c>
      <c r="J28" s="270">
        <v>45773.0</v>
      </c>
      <c r="K28" s="72"/>
      <c r="L28" s="72"/>
      <c r="M28" s="268">
        <v>45803.0</v>
      </c>
      <c r="N28" s="164">
        <v>14.0</v>
      </c>
      <c r="O28" s="164">
        <v>2140.0</v>
      </c>
      <c r="P28" s="268">
        <v>45834.0</v>
      </c>
      <c r="Q28" s="164">
        <v>19.0</v>
      </c>
      <c r="R28" s="164">
        <v>2850.0</v>
      </c>
      <c r="S28" s="270">
        <v>45864.0</v>
      </c>
      <c r="T28" s="273"/>
      <c r="U28" s="273"/>
      <c r="V28" s="268">
        <v>45895.0</v>
      </c>
      <c r="W28" s="164">
        <v>17.0</v>
      </c>
      <c r="X28" s="164">
        <v>2434.0</v>
      </c>
      <c r="Y28" s="269">
        <v>45926.0</v>
      </c>
      <c r="Z28" s="164">
        <v>12.0</v>
      </c>
      <c r="AA28" s="164">
        <v>1759.0</v>
      </c>
      <c r="AB28" s="267">
        <v>45956.0</v>
      </c>
      <c r="AC28" s="19"/>
      <c r="AD28" s="19"/>
      <c r="AE28" s="269">
        <v>45987.0</v>
      </c>
      <c r="AF28" s="164">
        <v>23.0</v>
      </c>
      <c r="AG28" s="164">
        <v>3180.0</v>
      </c>
      <c r="AH28" s="268">
        <v>46017.0</v>
      </c>
      <c r="AI28" s="60"/>
      <c r="AJ28" s="60"/>
      <c r="AK28" s="122"/>
      <c r="AL28" s="122"/>
      <c r="AM28" s="122"/>
    </row>
    <row r="29">
      <c r="A29" s="74">
        <v>45684.0</v>
      </c>
      <c r="B29" s="237"/>
      <c r="C29" s="237"/>
      <c r="D29" s="275">
        <v>45715.0</v>
      </c>
      <c r="E29" s="164">
        <v>18.0</v>
      </c>
      <c r="F29" s="164">
        <v>2100.0</v>
      </c>
      <c r="G29" s="268">
        <v>45743.0</v>
      </c>
      <c r="H29" s="60">
        <v>19.0</v>
      </c>
      <c r="I29" s="60">
        <v>2546.0</v>
      </c>
      <c r="J29" s="270">
        <v>45774.0</v>
      </c>
      <c r="K29" s="273"/>
      <c r="L29" s="273"/>
      <c r="M29" s="268">
        <v>45804.0</v>
      </c>
      <c r="N29" s="164">
        <v>18.0</v>
      </c>
      <c r="O29" s="164">
        <v>2090.0</v>
      </c>
      <c r="P29" s="268">
        <v>45835.0</v>
      </c>
      <c r="Q29" s="164">
        <v>17.0</v>
      </c>
      <c r="R29" s="164">
        <v>2250.0</v>
      </c>
      <c r="S29" s="270">
        <v>45865.0</v>
      </c>
      <c r="T29" s="273"/>
      <c r="U29" s="273"/>
      <c r="V29" s="268">
        <v>45896.0</v>
      </c>
      <c r="W29" s="164">
        <v>20.0</v>
      </c>
      <c r="X29" s="164">
        <v>2719.0</v>
      </c>
      <c r="Y29" s="267">
        <v>45927.0</v>
      </c>
      <c r="Z29" s="19"/>
      <c r="AA29" s="19"/>
      <c r="AB29" s="269">
        <v>45957.0</v>
      </c>
      <c r="AC29" s="164">
        <v>21.0</v>
      </c>
      <c r="AD29" s="164">
        <v>2958.0</v>
      </c>
      <c r="AE29" s="269">
        <v>45988.0</v>
      </c>
      <c r="AF29" s="164">
        <v>25.0</v>
      </c>
      <c r="AG29" s="164">
        <v>3550.0</v>
      </c>
      <c r="AH29" s="267">
        <v>46018.0</v>
      </c>
      <c r="AI29" s="19"/>
      <c r="AJ29" s="19"/>
      <c r="AK29" s="122"/>
      <c r="AL29" s="122"/>
      <c r="AM29" s="122"/>
    </row>
    <row r="30">
      <c r="A30" s="74">
        <v>45685.0</v>
      </c>
      <c r="B30" s="237"/>
      <c r="C30" s="237"/>
      <c r="D30" s="74">
        <v>45716.0</v>
      </c>
      <c r="E30" s="237"/>
      <c r="F30" s="237"/>
      <c r="G30" s="268">
        <v>45744.0</v>
      </c>
      <c r="H30" s="60">
        <v>19.0</v>
      </c>
      <c r="I30" s="60">
        <v>2688.0</v>
      </c>
      <c r="J30" s="268">
        <v>45775.0</v>
      </c>
      <c r="K30" s="164">
        <v>17.0</v>
      </c>
      <c r="L30" s="164">
        <v>2150.0</v>
      </c>
      <c r="M30" s="268">
        <v>45805.0</v>
      </c>
      <c r="N30" s="164">
        <v>17.0</v>
      </c>
      <c r="O30" s="164">
        <v>2481.0</v>
      </c>
      <c r="P30" s="270">
        <v>45836.0</v>
      </c>
      <c r="Q30" s="72"/>
      <c r="R30" s="72"/>
      <c r="S30" s="268">
        <v>45866.0</v>
      </c>
      <c r="T30" s="60">
        <v>19.0</v>
      </c>
      <c r="U30" s="60">
        <v>2735.0</v>
      </c>
      <c r="V30" s="268">
        <v>45897.0</v>
      </c>
      <c r="W30" s="164">
        <v>22.0</v>
      </c>
      <c r="X30" s="164">
        <v>3300.0</v>
      </c>
      <c r="Y30" s="267">
        <v>45928.0</v>
      </c>
      <c r="Z30" s="19"/>
      <c r="AA30" s="19"/>
      <c r="AB30" s="269">
        <v>45958.0</v>
      </c>
      <c r="AC30" s="164">
        <v>19.0</v>
      </c>
      <c r="AD30" s="164">
        <v>2670.0</v>
      </c>
      <c r="AE30" s="269">
        <v>45989.0</v>
      </c>
      <c r="AF30" s="164">
        <v>16.0</v>
      </c>
      <c r="AG30" s="164">
        <v>1910.0</v>
      </c>
      <c r="AH30" s="267">
        <v>46019.0</v>
      </c>
      <c r="AI30" s="19"/>
      <c r="AJ30" s="19"/>
      <c r="AK30" s="122"/>
      <c r="AL30" s="122"/>
      <c r="AM30" s="122"/>
    </row>
    <row r="31">
      <c r="A31" s="74">
        <v>45686.0</v>
      </c>
      <c r="B31" s="237"/>
      <c r="C31" s="237"/>
      <c r="D31" s="74"/>
      <c r="E31" s="19"/>
      <c r="F31" s="19"/>
      <c r="G31" s="270">
        <v>45745.0</v>
      </c>
      <c r="H31" s="273"/>
      <c r="I31" s="273"/>
      <c r="J31" s="268">
        <v>45776.0</v>
      </c>
      <c r="K31" s="164">
        <v>24.0</v>
      </c>
      <c r="L31" s="164">
        <v>3540.0</v>
      </c>
      <c r="M31" s="268">
        <v>45806.0</v>
      </c>
      <c r="N31" s="164">
        <v>14.0</v>
      </c>
      <c r="O31" s="164">
        <v>1885.0</v>
      </c>
      <c r="P31" s="270">
        <v>45837.0</v>
      </c>
      <c r="Q31" s="72"/>
      <c r="R31" s="72"/>
      <c r="S31" s="268">
        <v>45867.0</v>
      </c>
      <c r="T31" s="60">
        <v>22.0</v>
      </c>
      <c r="U31" s="60">
        <v>3065.0</v>
      </c>
      <c r="V31" s="268">
        <v>45898.0</v>
      </c>
      <c r="W31" s="164">
        <v>21.0</v>
      </c>
      <c r="X31" s="164">
        <v>2845.0</v>
      </c>
      <c r="Y31" s="270">
        <v>45929.0</v>
      </c>
      <c r="Z31" s="72"/>
      <c r="AA31" s="72"/>
      <c r="AB31" s="269">
        <v>45959.0</v>
      </c>
      <c r="AC31" s="164">
        <v>20.0</v>
      </c>
      <c r="AD31" s="164">
        <v>2760.0</v>
      </c>
      <c r="AE31" s="267">
        <v>45990.0</v>
      </c>
      <c r="AF31" s="19"/>
      <c r="AG31" s="19"/>
      <c r="AH31" s="268">
        <v>46020.0</v>
      </c>
      <c r="AI31" s="60"/>
      <c r="AJ31" s="60"/>
      <c r="AK31" s="122"/>
      <c r="AL31" s="122"/>
      <c r="AM31" s="122"/>
    </row>
    <row r="32">
      <c r="A32" s="74">
        <v>45687.0</v>
      </c>
      <c r="B32" s="237"/>
      <c r="C32" s="237"/>
      <c r="D32" s="74"/>
      <c r="E32" s="19"/>
      <c r="F32" s="19"/>
      <c r="G32" s="270">
        <v>45746.0</v>
      </c>
      <c r="H32" s="273"/>
      <c r="I32" s="273"/>
      <c r="J32" s="268">
        <v>45777.0</v>
      </c>
      <c r="K32" s="164">
        <v>21.0</v>
      </c>
      <c r="L32" s="164">
        <v>3060.0</v>
      </c>
      <c r="M32" s="270">
        <v>45807.0</v>
      </c>
      <c r="N32" s="72"/>
      <c r="O32" s="72"/>
      <c r="P32" s="268">
        <v>45838.0</v>
      </c>
      <c r="Q32" s="164">
        <v>21.0</v>
      </c>
      <c r="R32" s="164">
        <v>2931.0</v>
      </c>
      <c r="S32" s="268">
        <v>45868.0</v>
      </c>
      <c r="T32" s="60">
        <v>19.0</v>
      </c>
      <c r="U32" s="60">
        <v>2802.0</v>
      </c>
      <c r="V32" s="270">
        <v>45899.0</v>
      </c>
      <c r="W32" s="72"/>
      <c r="X32" s="72"/>
      <c r="Y32" s="269">
        <v>45930.0</v>
      </c>
      <c r="Z32" s="164">
        <v>12.0</v>
      </c>
      <c r="AA32" s="164">
        <v>1804.0</v>
      </c>
      <c r="AB32" s="269">
        <v>45960.0</v>
      </c>
      <c r="AC32" s="164">
        <v>19.0</v>
      </c>
      <c r="AD32" s="164">
        <v>2755.0</v>
      </c>
      <c r="AE32" s="267">
        <v>45991.0</v>
      </c>
      <c r="AF32" s="19"/>
      <c r="AG32" s="19"/>
      <c r="AH32" s="268">
        <v>46021.0</v>
      </c>
      <c r="AI32" s="60"/>
      <c r="AJ32" s="60"/>
      <c r="AK32" s="122"/>
      <c r="AL32" s="122"/>
      <c r="AM32" s="122"/>
    </row>
    <row r="33">
      <c r="A33" s="74">
        <v>45688.0</v>
      </c>
      <c r="B33" s="237"/>
      <c r="C33" s="237"/>
      <c r="D33" s="74"/>
      <c r="E33" s="237"/>
      <c r="F33" s="237"/>
      <c r="G33" s="268">
        <v>45747.0</v>
      </c>
      <c r="H33" s="60">
        <v>18.0</v>
      </c>
      <c r="I33" s="60">
        <v>2700.0</v>
      </c>
      <c r="J33" s="270"/>
      <c r="K33" s="72"/>
      <c r="L33" s="72"/>
      <c r="M33" s="270">
        <v>45808.0</v>
      </c>
      <c r="N33" s="72"/>
      <c r="O33" s="72"/>
      <c r="P33" s="268"/>
      <c r="Q33" s="164"/>
      <c r="R33" s="164"/>
      <c r="S33" s="268">
        <v>45869.0</v>
      </c>
      <c r="T33" s="60">
        <v>18.0</v>
      </c>
      <c r="U33" s="60">
        <v>2295.0</v>
      </c>
      <c r="V33" s="270">
        <v>45900.0</v>
      </c>
      <c r="W33" s="72"/>
      <c r="X33" s="72"/>
      <c r="Y33" s="60"/>
      <c r="Z33" s="39"/>
      <c r="AA33" s="60"/>
      <c r="AB33" s="269">
        <v>45961.0</v>
      </c>
      <c r="AC33" s="164">
        <v>28.0</v>
      </c>
      <c r="AD33" s="164">
        <v>2580.0</v>
      </c>
      <c r="AE33" s="269"/>
      <c r="AF33" s="164"/>
      <c r="AG33" s="164"/>
      <c r="AH33" s="268">
        <v>46022.0</v>
      </c>
      <c r="AI33" s="60"/>
      <c r="AJ33" s="60"/>
      <c r="AK33" s="122"/>
      <c r="AL33" s="122"/>
      <c r="AM33" s="122"/>
    </row>
    <row r="34">
      <c r="A34" s="60" t="s">
        <v>388</v>
      </c>
      <c r="B34" s="39"/>
      <c r="C34" s="60">
        <v>4708.0</v>
      </c>
      <c r="D34" s="60" t="s">
        <v>388</v>
      </c>
      <c r="E34" s="60"/>
      <c r="F34" s="60">
        <v>5000.0</v>
      </c>
      <c r="G34" s="60" t="s">
        <v>388</v>
      </c>
      <c r="H34" s="39"/>
      <c r="I34" s="60">
        <v>3263.0</v>
      </c>
      <c r="J34" s="60" t="s">
        <v>388</v>
      </c>
      <c r="K34" s="39"/>
      <c r="L34" s="60">
        <v>10091.0</v>
      </c>
      <c r="M34" s="60" t="s">
        <v>388</v>
      </c>
      <c r="N34" s="60"/>
      <c r="O34" s="60">
        <v>0.0</v>
      </c>
      <c r="P34" s="60" t="s">
        <v>388</v>
      </c>
      <c r="Q34" s="60"/>
      <c r="R34" s="60">
        <v>4972.0</v>
      </c>
      <c r="S34" s="60" t="s">
        <v>388</v>
      </c>
      <c r="T34" s="39"/>
      <c r="U34" s="60">
        <v>4992.0</v>
      </c>
      <c r="V34" s="60" t="s">
        <v>388</v>
      </c>
      <c r="W34" s="39"/>
      <c r="X34" s="60">
        <v>4969.0</v>
      </c>
      <c r="Y34" s="60" t="s">
        <v>388</v>
      </c>
      <c r="Z34" s="39"/>
      <c r="AA34" s="60">
        <v>9965.0</v>
      </c>
      <c r="AB34" s="60" t="s">
        <v>388</v>
      </c>
      <c r="AC34" s="164"/>
      <c r="AD34" s="164">
        <v>4999.0</v>
      </c>
      <c r="AE34" s="164" t="s">
        <v>388</v>
      </c>
      <c r="AF34" s="164"/>
      <c r="AG34" s="164">
        <v>4977.0</v>
      </c>
      <c r="AH34" s="164" t="s">
        <v>388</v>
      </c>
      <c r="AI34" s="60"/>
      <c r="AJ34" s="254">
        <v>4971.0</v>
      </c>
      <c r="AK34" s="122"/>
      <c r="AL34" s="122"/>
      <c r="AM34" s="122"/>
    </row>
    <row r="35">
      <c r="A35" s="19"/>
      <c r="B35" s="19"/>
      <c r="C35" s="237"/>
      <c r="D35" s="19"/>
      <c r="E35" s="19"/>
      <c r="F35" s="237"/>
      <c r="G35" s="276">
        <v>45726.0</v>
      </c>
      <c r="H35" s="277">
        <v>21.0</v>
      </c>
      <c r="I35" s="277">
        <v>3332.0</v>
      </c>
      <c r="J35" s="276">
        <v>45757.0</v>
      </c>
      <c r="K35" s="277">
        <v>23.0</v>
      </c>
      <c r="L35" s="277">
        <v>3200.0</v>
      </c>
      <c r="M35" s="278">
        <v>45786.0</v>
      </c>
      <c r="N35" s="277">
        <v>17.0</v>
      </c>
      <c r="O35" s="277">
        <v>3104.0</v>
      </c>
      <c r="P35" s="278">
        <v>45818.0</v>
      </c>
      <c r="Q35" s="277">
        <v>29.0</v>
      </c>
      <c r="R35" s="277">
        <v>3616.0</v>
      </c>
      <c r="S35" s="276">
        <v>45848.0</v>
      </c>
      <c r="T35" s="277">
        <v>27.0</v>
      </c>
      <c r="U35" s="277">
        <v>3625.0</v>
      </c>
      <c r="V35" s="276">
        <v>45877.0</v>
      </c>
      <c r="W35" s="277">
        <v>27.0</v>
      </c>
      <c r="X35" s="277">
        <v>3935.0</v>
      </c>
      <c r="Y35" s="276">
        <v>45910.0</v>
      </c>
      <c r="Z35" s="277">
        <v>29.0</v>
      </c>
      <c r="AA35" s="277">
        <f>2891+1007</f>
        <v>3898</v>
      </c>
      <c r="AB35" s="276">
        <v>45939.0</v>
      </c>
      <c r="AC35" s="277">
        <v>27.0</v>
      </c>
      <c r="AD35" s="277">
        <f>1419+2447</f>
        <v>3866</v>
      </c>
      <c r="AE35" s="276">
        <v>45971.0</v>
      </c>
      <c r="AF35" s="277">
        <v>29.0</v>
      </c>
      <c r="AG35" s="277">
        <v>3618.0</v>
      </c>
      <c r="AH35" s="276">
        <v>46001.0</v>
      </c>
      <c r="AI35" s="277">
        <v>32.0</v>
      </c>
      <c r="AJ35" s="279">
        <v>3797.0</v>
      </c>
      <c r="AK35" s="122"/>
      <c r="AL35" s="122"/>
      <c r="AM35" s="122"/>
    </row>
    <row r="36">
      <c r="A36" s="280" t="s">
        <v>389</v>
      </c>
      <c r="B36" s="84"/>
      <c r="C36" s="39">
        <f>SUM(C3:C34)</f>
        <v>33097</v>
      </c>
      <c r="D36" s="280" t="s">
        <v>389</v>
      </c>
      <c r="E36" s="84"/>
      <c r="F36" s="39">
        <f>SUM(F3:F34)</f>
        <v>53043</v>
      </c>
      <c r="G36" s="280" t="s">
        <v>389</v>
      </c>
      <c r="H36" s="84"/>
      <c r="I36" s="39">
        <f>SUM(I$3:I35)</f>
        <v>59586</v>
      </c>
      <c r="J36" s="280" t="s">
        <v>389</v>
      </c>
      <c r="K36" s="84"/>
      <c r="L36" s="39">
        <f>SUM(L$3:L35)</f>
        <v>67856</v>
      </c>
      <c r="M36" s="280" t="s">
        <v>389</v>
      </c>
      <c r="N36" s="84"/>
      <c r="O36" s="39">
        <f>SUM(O3:O35)</f>
        <v>48805</v>
      </c>
      <c r="P36" s="280" t="s">
        <v>389</v>
      </c>
      <c r="Q36" s="84"/>
      <c r="R36" s="39">
        <f>SUM(R3:R35)</f>
        <v>64626</v>
      </c>
      <c r="S36" s="280" t="s">
        <v>389</v>
      </c>
      <c r="T36" s="84"/>
      <c r="U36" s="39">
        <f>SUM(U$3:U35)</f>
        <v>73365</v>
      </c>
      <c r="V36" s="280" t="s">
        <v>389</v>
      </c>
      <c r="W36" s="84"/>
      <c r="X36" s="39">
        <f>SUM(X$3:X35)</f>
        <v>73152</v>
      </c>
      <c r="Y36" s="280" t="s">
        <v>389</v>
      </c>
      <c r="Z36" s="84"/>
      <c r="AA36" s="39">
        <f>SUM(AA$3:AA35)</f>
        <v>79716</v>
      </c>
      <c r="AB36" s="280" t="s">
        <v>389</v>
      </c>
      <c r="AC36" s="84"/>
      <c r="AD36" s="265">
        <f>SUM(AD$3:AD35)</f>
        <v>66283</v>
      </c>
      <c r="AE36" s="281" t="s">
        <v>389</v>
      </c>
      <c r="AF36" s="84"/>
      <c r="AG36" s="265">
        <f>SUM(AG$3:AG35)</f>
        <v>64138</v>
      </c>
      <c r="AH36" s="281" t="s">
        <v>389</v>
      </c>
      <c r="AI36" s="84"/>
      <c r="AJ36" s="265">
        <f>SUM(AJ$3:AJ35)</f>
        <v>42374</v>
      </c>
    </row>
    <row r="37"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</row>
    <row r="38"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</row>
    <row r="39"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</row>
    <row r="40"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</row>
    <row r="41"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</row>
    <row r="42"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</row>
    <row r="43"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</row>
    <row r="44">
      <c r="AC44" s="282"/>
      <c r="AD44" s="282"/>
      <c r="AE44" s="282"/>
      <c r="AF44" s="282"/>
      <c r="AG44" s="282"/>
      <c r="AH44" s="282"/>
      <c r="AI44" s="282"/>
      <c r="AJ44" s="282"/>
      <c r="AK44" s="282"/>
      <c r="AL44" s="282"/>
      <c r="AM44" s="282"/>
    </row>
    <row r="45">
      <c r="AC45" s="282"/>
      <c r="AD45" s="282"/>
      <c r="AE45" s="282"/>
      <c r="AF45" s="282"/>
      <c r="AG45" s="282"/>
      <c r="AH45" s="282"/>
      <c r="AI45" s="282"/>
      <c r="AJ45" s="282"/>
      <c r="AK45" s="282"/>
      <c r="AL45" s="282"/>
      <c r="AM45" s="282"/>
    </row>
    <row r="46">
      <c r="AC46" s="282"/>
      <c r="AD46" s="282"/>
      <c r="AE46" s="282"/>
      <c r="AF46" s="282"/>
      <c r="AG46" s="282"/>
      <c r="AH46" s="282"/>
      <c r="AI46" s="282"/>
      <c r="AJ46" s="282"/>
      <c r="AK46" s="282"/>
      <c r="AL46" s="282"/>
      <c r="AM46" s="282"/>
    </row>
    <row r="47">
      <c r="AC47" s="282"/>
      <c r="AD47" s="282"/>
      <c r="AE47" s="282"/>
      <c r="AF47" s="282"/>
      <c r="AG47" s="282"/>
      <c r="AH47" s="282"/>
      <c r="AI47" s="282"/>
      <c r="AJ47" s="282"/>
      <c r="AK47" s="282"/>
      <c r="AL47" s="282"/>
      <c r="AM47" s="282"/>
    </row>
    <row r="48">
      <c r="AC48" s="282"/>
      <c r="AD48" s="282"/>
      <c r="AE48" s="282"/>
      <c r="AF48" s="282"/>
      <c r="AG48" s="282"/>
      <c r="AH48" s="282"/>
      <c r="AI48" s="282"/>
      <c r="AJ48" s="282"/>
      <c r="AK48" s="282"/>
      <c r="AL48" s="282"/>
      <c r="AM48" s="282"/>
    </row>
    <row r="49"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  <c r="AM49" s="282"/>
    </row>
    <row r="50"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  <c r="AM50" s="282"/>
    </row>
    <row r="51"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  <c r="AM51" s="282"/>
    </row>
    <row r="52">
      <c r="AC52" s="282"/>
      <c r="AD52" s="282"/>
      <c r="AE52" s="282"/>
      <c r="AF52" s="282"/>
      <c r="AG52" s="282"/>
      <c r="AH52" s="282"/>
      <c r="AI52" s="282"/>
      <c r="AJ52" s="282"/>
      <c r="AK52" s="282"/>
      <c r="AL52" s="282"/>
      <c r="AM52" s="282"/>
    </row>
    <row r="53"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  <c r="AM53" s="282"/>
    </row>
    <row r="54"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  <c r="AM54" s="282"/>
    </row>
    <row r="55"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  <c r="AM55" s="282"/>
    </row>
    <row r="56"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  <c r="AM56" s="282"/>
    </row>
    <row r="57"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  <c r="AM57" s="282"/>
    </row>
    <row r="58"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  <c r="AM58" s="282"/>
    </row>
    <row r="59">
      <c r="AC59" s="282"/>
      <c r="AD59" s="282"/>
      <c r="AE59" s="282"/>
      <c r="AF59" s="282"/>
      <c r="AG59" s="282"/>
      <c r="AH59" s="282"/>
      <c r="AI59" s="282"/>
      <c r="AJ59" s="282"/>
      <c r="AK59" s="282"/>
      <c r="AL59" s="282"/>
      <c r="AM59" s="282"/>
    </row>
    <row r="60"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  <c r="AM60" s="282"/>
    </row>
    <row r="61">
      <c r="AC61" s="282"/>
      <c r="AD61" s="282"/>
      <c r="AE61" s="282"/>
      <c r="AF61" s="282"/>
      <c r="AG61" s="282"/>
      <c r="AH61" s="282"/>
      <c r="AI61" s="282"/>
      <c r="AJ61" s="282"/>
      <c r="AK61" s="282"/>
      <c r="AL61" s="282"/>
      <c r="AM61" s="282"/>
    </row>
    <row r="62"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  <c r="AM62" s="282"/>
    </row>
    <row r="63"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  <c r="AM63" s="282"/>
    </row>
    <row r="64"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  <c r="AM64" s="282"/>
    </row>
    <row r="65"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  <c r="AM65" s="282"/>
    </row>
    <row r="66"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</row>
    <row r="67"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</row>
    <row r="68"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</row>
    <row r="69"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</row>
    <row r="70"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</row>
    <row r="71"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</row>
    <row r="72">
      <c r="AC72" s="282"/>
      <c r="AD72" s="282"/>
      <c r="AE72" s="282"/>
      <c r="AF72" s="282"/>
      <c r="AG72" s="282"/>
      <c r="AH72" s="282"/>
      <c r="AI72" s="282"/>
      <c r="AJ72" s="282"/>
      <c r="AK72" s="282"/>
      <c r="AL72" s="282"/>
      <c r="AM72" s="282"/>
    </row>
    <row r="73">
      <c r="AC73" s="282"/>
      <c r="AD73" s="282"/>
      <c r="AE73" s="282"/>
      <c r="AF73" s="282"/>
      <c r="AG73" s="282"/>
      <c r="AH73" s="282"/>
      <c r="AI73" s="282"/>
      <c r="AJ73" s="282"/>
      <c r="AK73" s="282"/>
      <c r="AL73" s="282"/>
      <c r="AM73" s="282"/>
    </row>
    <row r="74">
      <c r="AC74" s="282"/>
      <c r="AD74" s="282"/>
      <c r="AE74" s="282"/>
      <c r="AF74" s="282"/>
      <c r="AG74" s="282"/>
      <c r="AH74" s="282"/>
      <c r="AI74" s="282"/>
      <c r="AJ74" s="282"/>
      <c r="AK74" s="282"/>
      <c r="AL74" s="282"/>
      <c r="AM74" s="282"/>
    </row>
    <row r="75">
      <c r="AC75" s="282"/>
      <c r="AD75" s="282"/>
      <c r="AE75" s="282"/>
      <c r="AF75" s="282"/>
      <c r="AG75" s="282"/>
      <c r="AH75" s="282"/>
      <c r="AI75" s="282"/>
      <c r="AJ75" s="282"/>
      <c r="AK75" s="282"/>
      <c r="AL75" s="282"/>
      <c r="AM75" s="282"/>
    </row>
    <row r="76">
      <c r="AC76" s="282"/>
      <c r="AD76" s="282"/>
      <c r="AE76" s="282"/>
      <c r="AF76" s="282"/>
      <c r="AG76" s="282"/>
      <c r="AH76" s="282"/>
      <c r="AI76" s="282"/>
      <c r="AJ76" s="282"/>
      <c r="AK76" s="282"/>
      <c r="AL76" s="282"/>
      <c r="AM76" s="282"/>
    </row>
    <row r="77">
      <c r="AC77" s="282"/>
      <c r="AD77" s="282"/>
      <c r="AE77" s="282"/>
      <c r="AF77" s="282"/>
      <c r="AG77" s="282"/>
      <c r="AH77" s="282"/>
      <c r="AI77" s="282"/>
      <c r="AJ77" s="282"/>
      <c r="AK77" s="282"/>
      <c r="AL77" s="282"/>
      <c r="AM77" s="282"/>
    </row>
    <row r="78">
      <c r="AC78" s="282"/>
      <c r="AD78" s="282"/>
      <c r="AE78" s="282"/>
      <c r="AF78" s="282"/>
      <c r="AG78" s="282"/>
      <c r="AH78" s="282"/>
      <c r="AI78" s="282"/>
      <c r="AJ78" s="282"/>
      <c r="AK78" s="282"/>
      <c r="AL78" s="282"/>
      <c r="AM78" s="282"/>
    </row>
    <row r="79">
      <c r="AC79" s="282"/>
      <c r="AD79" s="282"/>
      <c r="AE79" s="282"/>
      <c r="AF79" s="282"/>
      <c r="AG79" s="282"/>
      <c r="AH79" s="282"/>
      <c r="AI79" s="282"/>
      <c r="AJ79" s="282"/>
      <c r="AK79" s="282"/>
      <c r="AL79" s="282"/>
      <c r="AM79" s="282"/>
    </row>
    <row r="80">
      <c r="AC80" s="282"/>
      <c r="AD80" s="282"/>
      <c r="AE80" s="282"/>
      <c r="AF80" s="282"/>
      <c r="AG80" s="282"/>
      <c r="AH80" s="282"/>
      <c r="AI80" s="282"/>
      <c r="AJ80" s="282"/>
      <c r="AK80" s="282"/>
      <c r="AL80" s="282"/>
      <c r="AM80" s="282"/>
    </row>
    <row r="81">
      <c r="AC81" s="282"/>
      <c r="AD81" s="282"/>
      <c r="AE81" s="282"/>
      <c r="AF81" s="282"/>
      <c r="AG81" s="282"/>
      <c r="AH81" s="282"/>
      <c r="AI81" s="282"/>
      <c r="AJ81" s="282"/>
      <c r="AK81" s="282"/>
      <c r="AL81" s="282"/>
      <c r="AM81" s="282"/>
    </row>
    <row r="82">
      <c r="AC82" s="282"/>
      <c r="AD82" s="282"/>
      <c r="AE82" s="282"/>
      <c r="AF82" s="282"/>
      <c r="AG82" s="282"/>
      <c r="AH82" s="282"/>
      <c r="AI82" s="282"/>
      <c r="AJ82" s="282"/>
      <c r="AK82" s="282"/>
      <c r="AL82" s="282"/>
      <c r="AM82" s="282"/>
    </row>
    <row r="83">
      <c r="AC83" s="282"/>
      <c r="AD83" s="282"/>
      <c r="AE83" s="282"/>
      <c r="AF83" s="282"/>
      <c r="AG83" s="282"/>
      <c r="AH83" s="282"/>
      <c r="AI83" s="282"/>
      <c r="AJ83" s="282"/>
      <c r="AK83" s="282"/>
      <c r="AL83" s="282"/>
      <c r="AM83" s="282"/>
    </row>
    <row r="84">
      <c r="AC84" s="282"/>
      <c r="AD84" s="282"/>
      <c r="AE84" s="282"/>
      <c r="AF84" s="282"/>
      <c r="AG84" s="282"/>
      <c r="AH84" s="282"/>
      <c r="AI84" s="282"/>
      <c r="AJ84" s="282"/>
      <c r="AK84" s="282"/>
      <c r="AL84" s="282"/>
      <c r="AM84" s="282"/>
    </row>
    <row r="85">
      <c r="AC85" s="282"/>
      <c r="AD85" s="282"/>
      <c r="AE85" s="282"/>
      <c r="AF85" s="282"/>
      <c r="AG85" s="282"/>
      <c r="AH85" s="282"/>
      <c r="AI85" s="282"/>
      <c r="AJ85" s="282"/>
      <c r="AK85" s="282"/>
      <c r="AL85" s="282"/>
      <c r="AM85" s="282"/>
    </row>
    <row r="86">
      <c r="AC86" s="282"/>
      <c r="AD86" s="282"/>
      <c r="AE86" s="282"/>
      <c r="AF86" s="282"/>
      <c r="AG86" s="282"/>
      <c r="AH86" s="282"/>
      <c r="AI86" s="282"/>
      <c r="AJ86" s="282"/>
      <c r="AK86" s="282"/>
      <c r="AL86" s="282"/>
      <c r="AM86" s="282"/>
    </row>
    <row r="87">
      <c r="AC87" s="282"/>
      <c r="AD87" s="282"/>
      <c r="AE87" s="282"/>
      <c r="AF87" s="282"/>
      <c r="AG87" s="282"/>
      <c r="AH87" s="282"/>
      <c r="AI87" s="282"/>
      <c r="AJ87" s="282"/>
      <c r="AK87" s="282"/>
      <c r="AL87" s="282"/>
      <c r="AM87" s="282"/>
    </row>
    <row r="88">
      <c r="AC88" s="282"/>
      <c r="AD88" s="282"/>
      <c r="AE88" s="282"/>
      <c r="AF88" s="282"/>
      <c r="AG88" s="282"/>
      <c r="AH88" s="282"/>
      <c r="AI88" s="282"/>
      <c r="AJ88" s="282"/>
      <c r="AK88" s="282"/>
      <c r="AL88" s="282"/>
      <c r="AM88" s="282"/>
    </row>
    <row r="89">
      <c r="AC89" s="282"/>
      <c r="AD89" s="282"/>
      <c r="AE89" s="282"/>
      <c r="AF89" s="282"/>
      <c r="AG89" s="282"/>
      <c r="AH89" s="282"/>
      <c r="AI89" s="282"/>
      <c r="AJ89" s="282"/>
      <c r="AK89" s="282"/>
      <c r="AL89" s="282"/>
      <c r="AM89" s="282"/>
    </row>
    <row r="90">
      <c r="AC90" s="282"/>
      <c r="AD90" s="282"/>
      <c r="AE90" s="282"/>
      <c r="AF90" s="282"/>
      <c r="AG90" s="282"/>
      <c r="AH90" s="282"/>
      <c r="AI90" s="282"/>
      <c r="AJ90" s="282"/>
      <c r="AK90" s="282"/>
      <c r="AL90" s="282"/>
      <c r="AM90" s="282"/>
    </row>
    <row r="91">
      <c r="AC91" s="282"/>
      <c r="AD91" s="282"/>
      <c r="AE91" s="282"/>
      <c r="AF91" s="282"/>
      <c r="AG91" s="282"/>
      <c r="AH91" s="282"/>
      <c r="AI91" s="282"/>
      <c r="AJ91" s="282"/>
      <c r="AK91" s="282"/>
      <c r="AL91" s="282"/>
      <c r="AM91" s="282"/>
    </row>
    <row r="92">
      <c r="AC92" s="282"/>
      <c r="AD92" s="282"/>
      <c r="AE92" s="282"/>
      <c r="AF92" s="282"/>
      <c r="AG92" s="282"/>
      <c r="AH92" s="282"/>
      <c r="AI92" s="282"/>
      <c r="AJ92" s="282"/>
      <c r="AK92" s="282"/>
      <c r="AL92" s="282"/>
      <c r="AM92" s="282"/>
    </row>
    <row r="93">
      <c r="AC93" s="282"/>
      <c r="AD93" s="282"/>
      <c r="AE93" s="282"/>
      <c r="AF93" s="282"/>
      <c r="AG93" s="282"/>
      <c r="AH93" s="282"/>
      <c r="AI93" s="282"/>
      <c r="AJ93" s="282"/>
      <c r="AK93" s="282"/>
      <c r="AL93" s="282"/>
      <c r="AM93" s="282"/>
    </row>
    <row r="94"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</row>
    <row r="95"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</row>
    <row r="96"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</row>
    <row r="97"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</row>
    <row r="98"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</row>
    <row r="99"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</row>
    <row r="100">
      <c r="AC100" s="282"/>
      <c r="AD100" s="282"/>
      <c r="AE100" s="282"/>
      <c r="AF100" s="282"/>
      <c r="AG100" s="282"/>
      <c r="AH100" s="282"/>
      <c r="AI100" s="282"/>
      <c r="AJ100" s="282"/>
      <c r="AK100" s="282"/>
      <c r="AL100" s="282"/>
      <c r="AM100" s="282"/>
    </row>
    <row r="101">
      <c r="AC101" s="282"/>
      <c r="AD101" s="282"/>
      <c r="AE101" s="282"/>
      <c r="AF101" s="282"/>
      <c r="AG101" s="282"/>
      <c r="AH101" s="282"/>
      <c r="AI101" s="282"/>
      <c r="AJ101" s="282"/>
      <c r="AK101" s="282"/>
      <c r="AL101" s="282"/>
      <c r="AM101" s="282"/>
    </row>
    <row r="102">
      <c r="AC102" s="282"/>
      <c r="AD102" s="282"/>
      <c r="AE102" s="282"/>
      <c r="AF102" s="282"/>
      <c r="AG102" s="282"/>
      <c r="AH102" s="282"/>
      <c r="AI102" s="282"/>
      <c r="AJ102" s="282"/>
      <c r="AK102" s="282"/>
      <c r="AL102" s="282"/>
      <c r="AM102" s="282"/>
    </row>
    <row r="103">
      <c r="AC103" s="282"/>
      <c r="AD103" s="282"/>
      <c r="AE103" s="282"/>
      <c r="AF103" s="282"/>
      <c r="AG103" s="282"/>
      <c r="AH103" s="282"/>
      <c r="AI103" s="282"/>
      <c r="AJ103" s="282"/>
      <c r="AK103" s="282"/>
      <c r="AL103" s="282"/>
      <c r="AM103" s="282"/>
    </row>
    <row r="104">
      <c r="AC104" s="282"/>
      <c r="AD104" s="282"/>
      <c r="AE104" s="282"/>
      <c r="AF104" s="282"/>
      <c r="AG104" s="282"/>
      <c r="AH104" s="282"/>
      <c r="AI104" s="282"/>
      <c r="AJ104" s="282"/>
      <c r="AK104" s="282"/>
      <c r="AL104" s="282"/>
      <c r="AM104" s="282"/>
    </row>
    <row r="105">
      <c r="AC105" s="282"/>
      <c r="AD105" s="282"/>
      <c r="AE105" s="282"/>
      <c r="AF105" s="282"/>
      <c r="AG105" s="282"/>
      <c r="AH105" s="282"/>
      <c r="AI105" s="282"/>
      <c r="AJ105" s="282"/>
      <c r="AK105" s="282"/>
      <c r="AL105" s="282"/>
      <c r="AM105" s="282"/>
    </row>
    <row r="106">
      <c r="AC106" s="282"/>
      <c r="AD106" s="282"/>
      <c r="AE106" s="282"/>
      <c r="AF106" s="282"/>
      <c r="AG106" s="282"/>
      <c r="AH106" s="282"/>
      <c r="AI106" s="282"/>
      <c r="AJ106" s="282"/>
      <c r="AK106" s="282"/>
      <c r="AL106" s="282"/>
      <c r="AM106" s="282"/>
    </row>
    <row r="107">
      <c r="AC107" s="282"/>
      <c r="AD107" s="282"/>
      <c r="AE107" s="282"/>
      <c r="AF107" s="282"/>
      <c r="AG107" s="282"/>
      <c r="AH107" s="282"/>
      <c r="AI107" s="282"/>
      <c r="AJ107" s="282"/>
      <c r="AK107" s="282"/>
      <c r="AL107" s="282"/>
      <c r="AM107" s="282"/>
    </row>
    <row r="108">
      <c r="AC108" s="282"/>
      <c r="AD108" s="282"/>
      <c r="AE108" s="282"/>
      <c r="AF108" s="282"/>
      <c r="AG108" s="282"/>
      <c r="AH108" s="282"/>
      <c r="AI108" s="282"/>
      <c r="AJ108" s="282"/>
      <c r="AK108" s="282"/>
      <c r="AL108" s="282"/>
      <c r="AM108" s="282"/>
    </row>
    <row r="109"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  <c r="AM109" s="282"/>
    </row>
    <row r="110"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  <c r="AM110" s="282"/>
    </row>
    <row r="111"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  <c r="AM111" s="282"/>
    </row>
    <row r="112"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  <c r="AM112" s="282"/>
    </row>
    <row r="113"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  <c r="AM113" s="282"/>
    </row>
    <row r="114"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  <c r="AM114" s="282"/>
    </row>
    <row r="115"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  <c r="AM115" s="282"/>
    </row>
    <row r="116"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  <c r="AM116" s="282"/>
    </row>
    <row r="117"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  <c r="AM117" s="282"/>
    </row>
    <row r="118"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  <c r="AM118" s="282"/>
    </row>
    <row r="119"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  <c r="AM119" s="282"/>
    </row>
    <row r="120"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  <c r="AM120" s="282"/>
    </row>
    <row r="121"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  <c r="AM121" s="282"/>
    </row>
    <row r="122"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</row>
    <row r="123"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</row>
    <row r="124"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</row>
    <row r="125"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</row>
    <row r="126"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</row>
    <row r="127"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</row>
    <row r="128">
      <c r="AC128" s="282"/>
      <c r="AD128" s="282"/>
      <c r="AE128" s="282"/>
      <c r="AF128" s="282"/>
      <c r="AG128" s="282"/>
      <c r="AH128" s="282"/>
      <c r="AI128" s="282"/>
      <c r="AJ128" s="282"/>
      <c r="AK128" s="282"/>
      <c r="AL128" s="282"/>
      <c r="AM128" s="282"/>
    </row>
    <row r="129">
      <c r="AC129" s="282"/>
      <c r="AD129" s="282"/>
      <c r="AE129" s="282"/>
      <c r="AF129" s="282"/>
      <c r="AG129" s="282"/>
      <c r="AH129" s="282"/>
      <c r="AI129" s="282"/>
      <c r="AJ129" s="282"/>
      <c r="AK129" s="282"/>
      <c r="AL129" s="282"/>
      <c r="AM129" s="282"/>
    </row>
    <row r="130">
      <c r="AC130" s="282"/>
      <c r="AD130" s="282"/>
      <c r="AE130" s="282"/>
      <c r="AF130" s="282"/>
      <c r="AG130" s="282"/>
      <c r="AH130" s="282"/>
      <c r="AI130" s="282"/>
      <c r="AJ130" s="282"/>
      <c r="AK130" s="282"/>
      <c r="AL130" s="282"/>
      <c r="AM130" s="282"/>
    </row>
    <row r="131">
      <c r="AC131" s="282"/>
      <c r="AD131" s="282"/>
      <c r="AE131" s="282"/>
      <c r="AF131" s="282"/>
      <c r="AG131" s="282"/>
      <c r="AH131" s="282"/>
      <c r="AI131" s="282"/>
      <c r="AJ131" s="282"/>
      <c r="AK131" s="282"/>
      <c r="AL131" s="282"/>
      <c r="AM131" s="282"/>
    </row>
    <row r="132">
      <c r="AC132" s="282"/>
      <c r="AD132" s="282"/>
      <c r="AE132" s="282"/>
      <c r="AF132" s="282"/>
      <c r="AG132" s="282"/>
      <c r="AH132" s="282"/>
      <c r="AI132" s="282"/>
      <c r="AJ132" s="282"/>
      <c r="AK132" s="282"/>
      <c r="AL132" s="282"/>
      <c r="AM132" s="282"/>
    </row>
    <row r="133">
      <c r="AC133" s="282"/>
      <c r="AD133" s="282"/>
      <c r="AE133" s="282"/>
      <c r="AF133" s="282"/>
      <c r="AG133" s="282"/>
      <c r="AH133" s="282"/>
      <c r="AI133" s="282"/>
      <c r="AJ133" s="282"/>
      <c r="AK133" s="282"/>
      <c r="AL133" s="282"/>
      <c r="AM133" s="282"/>
    </row>
    <row r="134">
      <c r="AC134" s="282"/>
      <c r="AD134" s="282"/>
      <c r="AE134" s="282"/>
      <c r="AF134" s="282"/>
      <c r="AG134" s="282"/>
      <c r="AH134" s="282"/>
      <c r="AI134" s="282"/>
      <c r="AJ134" s="282"/>
      <c r="AK134" s="282"/>
      <c r="AL134" s="282"/>
      <c r="AM134" s="282"/>
    </row>
    <row r="135">
      <c r="AC135" s="282"/>
      <c r="AD135" s="282"/>
      <c r="AE135" s="282"/>
      <c r="AF135" s="282"/>
      <c r="AG135" s="282"/>
      <c r="AH135" s="282"/>
      <c r="AI135" s="282"/>
      <c r="AJ135" s="282"/>
      <c r="AK135" s="282"/>
      <c r="AL135" s="282"/>
      <c r="AM135" s="282"/>
    </row>
    <row r="136">
      <c r="AC136" s="282"/>
      <c r="AD136" s="282"/>
      <c r="AE136" s="282"/>
      <c r="AF136" s="282"/>
      <c r="AG136" s="282"/>
      <c r="AH136" s="282"/>
      <c r="AI136" s="282"/>
      <c r="AJ136" s="282"/>
      <c r="AK136" s="282"/>
      <c r="AL136" s="282"/>
      <c r="AM136" s="282"/>
    </row>
    <row r="137">
      <c r="AC137" s="282"/>
      <c r="AD137" s="282"/>
      <c r="AE137" s="282"/>
      <c r="AF137" s="282"/>
      <c r="AG137" s="282"/>
      <c r="AH137" s="282"/>
      <c r="AI137" s="282"/>
      <c r="AJ137" s="282"/>
      <c r="AK137" s="282"/>
      <c r="AL137" s="282"/>
      <c r="AM137" s="282"/>
    </row>
    <row r="138">
      <c r="AC138" s="282"/>
      <c r="AD138" s="282"/>
      <c r="AE138" s="282"/>
      <c r="AF138" s="282"/>
      <c r="AG138" s="282"/>
      <c r="AH138" s="282"/>
      <c r="AI138" s="282"/>
      <c r="AJ138" s="282"/>
      <c r="AK138" s="282"/>
      <c r="AL138" s="282"/>
      <c r="AM138" s="282"/>
    </row>
    <row r="139">
      <c r="AC139" s="282"/>
      <c r="AD139" s="282"/>
      <c r="AE139" s="282"/>
      <c r="AF139" s="282"/>
      <c r="AG139" s="282"/>
      <c r="AH139" s="282"/>
      <c r="AI139" s="282"/>
      <c r="AJ139" s="282"/>
      <c r="AK139" s="282"/>
      <c r="AL139" s="282"/>
      <c r="AM139" s="282"/>
    </row>
    <row r="140">
      <c r="AC140" s="282"/>
      <c r="AD140" s="282"/>
      <c r="AE140" s="282"/>
      <c r="AF140" s="282"/>
      <c r="AG140" s="282"/>
      <c r="AH140" s="282"/>
      <c r="AI140" s="282"/>
      <c r="AJ140" s="282"/>
      <c r="AK140" s="282"/>
      <c r="AL140" s="282"/>
      <c r="AM140" s="282"/>
    </row>
    <row r="141">
      <c r="AC141" s="282"/>
      <c r="AD141" s="282"/>
      <c r="AE141" s="282"/>
      <c r="AF141" s="282"/>
      <c r="AG141" s="282"/>
      <c r="AH141" s="282"/>
      <c r="AI141" s="282"/>
      <c r="AJ141" s="282"/>
      <c r="AK141" s="282"/>
      <c r="AL141" s="282"/>
      <c r="AM141" s="282"/>
    </row>
    <row r="142">
      <c r="AC142" s="282"/>
      <c r="AD142" s="282"/>
      <c r="AE142" s="282"/>
      <c r="AF142" s="282"/>
      <c r="AG142" s="282"/>
      <c r="AH142" s="282"/>
      <c r="AI142" s="282"/>
      <c r="AJ142" s="282"/>
      <c r="AK142" s="282"/>
      <c r="AL142" s="282"/>
      <c r="AM142" s="282"/>
    </row>
    <row r="143">
      <c r="AC143" s="282"/>
      <c r="AD143" s="282"/>
      <c r="AE143" s="282"/>
      <c r="AF143" s="282"/>
      <c r="AG143" s="282"/>
      <c r="AH143" s="282"/>
      <c r="AI143" s="282"/>
      <c r="AJ143" s="282"/>
      <c r="AK143" s="282"/>
      <c r="AL143" s="282"/>
      <c r="AM143" s="282"/>
    </row>
    <row r="144">
      <c r="AC144" s="282"/>
      <c r="AD144" s="282"/>
      <c r="AE144" s="282"/>
      <c r="AF144" s="282"/>
      <c r="AG144" s="282"/>
      <c r="AH144" s="282"/>
      <c r="AI144" s="282"/>
      <c r="AJ144" s="282"/>
      <c r="AK144" s="282"/>
      <c r="AL144" s="282"/>
      <c r="AM144" s="282"/>
    </row>
    <row r="145">
      <c r="AC145" s="282"/>
      <c r="AD145" s="282"/>
      <c r="AE145" s="282"/>
      <c r="AF145" s="282"/>
      <c r="AG145" s="282"/>
      <c r="AH145" s="282"/>
      <c r="AI145" s="282"/>
      <c r="AJ145" s="282"/>
      <c r="AK145" s="282"/>
      <c r="AL145" s="282"/>
      <c r="AM145" s="282"/>
    </row>
    <row r="146">
      <c r="AC146" s="282"/>
      <c r="AD146" s="282"/>
      <c r="AE146" s="282"/>
      <c r="AF146" s="282"/>
      <c r="AG146" s="282"/>
      <c r="AH146" s="282"/>
      <c r="AI146" s="282"/>
      <c r="AJ146" s="282"/>
      <c r="AK146" s="282"/>
      <c r="AL146" s="282"/>
      <c r="AM146" s="282"/>
    </row>
    <row r="147">
      <c r="AC147" s="282"/>
      <c r="AD147" s="282"/>
      <c r="AE147" s="282"/>
      <c r="AF147" s="282"/>
      <c r="AG147" s="282"/>
      <c r="AH147" s="282"/>
      <c r="AI147" s="282"/>
      <c r="AJ147" s="282"/>
      <c r="AK147" s="282"/>
      <c r="AL147" s="282"/>
      <c r="AM147" s="282"/>
    </row>
    <row r="148">
      <c r="AC148" s="282"/>
      <c r="AD148" s="282"/>
      <c r="AE148" s="282"/>
      <c r="AF148" s="282"/>
      <c r="AG148" s="282"/>
      <c r="AH148" s="282"/>
      <c r="AI148" s="282"/>
      <c r="AJ148" s="282"/>
      <c r="AK148" s="282"/>
      <c r="AL148" s="282"/>
      <c r="AM148" s="282"/>
    </row>
    <row r="149">
      <c r="AC149" s="282"/>
      <c r="AD149" s="282"/>
      <c r="AE149" s="282"/>
      <c r="AF149" s="282"/>
      <c r="AG149" s="282"/>
      <c r="AH149" s="282"/>
      <c r="AI149" s="282"/>
      <c r="AJ149" s="282"/>
      <c r="AK149" s="282"/>
      <c r="AL149" s="282"/>
      <c r="AM149" s="282"/>
    </row>
    <row r="150">
      <c r="AC150" s="282"/>
      <c r="AD150" s="282"/>
      <c r="AE150" s="282"/>
      <c r="AF150" s="282"/>
      <c r="AG150" s="282"/>
      <c r="AH150" s="282"/>
      <c r="AI150" s="282"/>
      <c r="AJ150" s="282"/>
      <c r="AK150" s="282"/>
      <c r="AL150" s="282"/>
      <c r="AM150" s="282"/>
    </row>
    <row r="151">
      <c r="AC151" s="282"/>
      <c r="AD151" s="282"/>
      <c r="AE151" s="282"/>
      <c r="AF151" s="282"/>
      <c r="AG151" s="282"/>
      <c r="AH151" s="282"/>
      <c r="AI151" s="282"/>
      <c r="AJ151" s="282"/>
      <c r="AK151" s="282"/>
      <c r="AL151" s="282"/>
      <c r="AM151" s="282"/>
    </row>
    <row r="152">
      <c r="AC152" s="282"/>
      <c r="AD152" s="282"/>
      <c r="AE152" s="282"/>
      <c r="AF152" s="282"/>
      <c r="AG152" s="282"/>
      <c r="AH152" s="282"/>
      <c r="AI152" s="282"/>
      <c r="AJ152" s="282"/>
      <c r="AK152" s="282"/>
      <c r="AL152" s="282"/>
      <c r="AM152" s="282"/>
    </row>
    <row r="153">
      <c r="AC153" s="282"/>
      <c r="AD153" s="282"/>
      <c r="AE153" s="282"/>
      <c r="AF153" s="282"/>
      <c r="AG153" s="282"/>
      <c r="AH153" s="282"/>
      <c r="AI153" s="282"/>
      <c r="AJ153" s="282"/>
      <c r="AK153" s="282"/>
      <c r="AL153" s="282"/>
      <c r="AM153" s="282"/>
    </row>
    <row r="154">
      <c r="AC154" s="282"/>
      <c r="AD154" s="282"/>
      <c r="AE154" s="282"/>
      <c r="AF154" s="282"/>
      <c r="AG154" s="282"/>
      <c r="AH154" s="282"/>
      <c r="AI154" s="282"/>
      <c r="AJ154" s="282"/>
      <c r="AK154" s="282"/>
      <c r="AL154" s="282"/>
      <c r="AM154" s="282"/>
    </row>
    <row r="155">
      <c r="AC155" s="282"/>
      <c r="AD155" s="282"/>
      <c r="AE155" s="282"/>
      <c r="AF155" s="282"/>
      <c r="AG155" s="282"/>
      <c r="AH155" s="282"/>
      <c r="AI155" s="282"/>
      <c r="AJ155" s="282"/>
      <c r="AK155" s="282"/>
      <c r="AL155" s="282"/>
      <c r="AM155" s="282"/>
    </row>
    <row r="156">
      <c r="AC156" s="282"/>
      <c r="AD156" s="282"/>
      <c r="AE156" s="282"/>
      <c r="AF156" s="282"/>
      <c r="AG156" s="282"/>
      <c r="AH156" s="282"/>
      <c r="AI156" s="282"/>
      <c r="AJ156" s="282"/>
      <c r="AK156" s="282"/>
      <c r="AL156" s="282"/>
      <c r="AM156" s="282"/>
    </row>
    <row r="157">
      <c r="AC157" s="282"/>
      <c r="AD157" s="282"/>
      <c r="AE157" s="282"/>
      <c r="AF157" s="282"/>
      <c r="AG157" s="282"/>
      <c r="AH157" s="282"/>
      <c r="AI157" s="282"/>
      <c r="AJ157" s="282"/>
      <c r="AK157" s="282"/>
      <c r="AL157" s="282"/>
      <c r="AM157" s="282"/>
    </row>
    <row r="158">
      <c r="AC158" s="282"/>
      <c r="AD158" s="282"/>
      <c r="AE158" s="282"/>
      <c r="AF158" s="282"/>
      <c r="AG158" s="282"/>
      <c r="AH158" s="282"/>
      <c r="AI158" s="282"/>
      <c r="AJ158" s="282"/>
      <c r="AK158" s="282"/>
      <c r="AL158" s="282"/>
      <c r="AM158" s="282"/>
    </row>
    <row r="159">
      <c r="AC159" s="282"/>
      <c r="AD159" s="282"/>
      <c r="AE159" s="282"/>
      <c r="AF159" s="282"/>
      <c r="AG159" s="282"/>
      <c r="AH159" s="282"/>
      <c r="AI159" s="282"/>
      <c r="AJ159" s="282"/>
      <c r="AK159" s="282"/>
      <c r="AL159" s="282"/>
      <c r="AM159" s="282"/>
    </row>
    <row r="160">
      <c r="AC160" s="282"/>
      <c r="AD160" s="282"/>
      <c r="AE160" s="282"/>
      <c r="AF160" s="282"/>
      <c r="AG160" s="282"/>
      <c r="AH160" s="282"/>
      <c r="AI160" s="282"/>
      <c r="AJ160" s="282"/>
      <c r="AK160" s="282"/>
      <c r="AL160" s="282"/>
      <c r="AM160" s="282"/>
    </row>
    <row r="161">
      <c r="AC161" s="282"/>
      <c r="AD161" s="282"/>
      <c r="AE161" s="282"/>
      <c r="AF161" s="282"/>
      <c r="AG161" s="282"/>
      <c r="AH161" s="282"/>
      <c r="AI161" s="282"/>
      <c r="AJ161" s="282"/>
      <c r="AK161" s="282"/>
      <c r="AL161" s="282"/>
      <c r="AM161" s="282"/>
    </row>
    <row r="162">
      <c r="AC162" s="282"/>
      <c r="AD162" s="282"/>
      <c r="AE162" s="282"/>
      <c r="AF162" s="282"/>
      <c r="AG162" s="282"/>
      <c r="AH162" s="282"/>
      <c r="AI162" s="282"/>
      <c r="AJ162" s="282"/>
      <c r="AK162" s="282"/>
      <c r="AL162" s="282"/>
      <c r="AM162" s="282"/>
    </row>
    <row r="163">
      <c r="AC163" s="282"/>
      <c r="AD163" s="282"/>
      <c r="AE163" s="282"/>
      <c r="AF163" s="282"/>
      <c r="AG163" s="282"/>
      <c r="AH163" s="282"/>
      <c r="AI163" s="282"/>
      <c r="AJ163" s="282"/>
      <c r="AK163" s="282"/>
      <c r="AL163" s="282"/>
      <c r="AM163" s="282"/>
    </row>
    <row r="164">
      <c r="AC164" s="282"/>
      <c r="AD164" s="282"/>
      <c r="AE164" s="282"/>
      <c r="AF164" s="282"/>
      <c r="AG164" s="282"/>
      <c r="AH164" s="282"/>
      <c r="AI164" s="282"/>
      <c r="AJ164" s="282"/>
      <c r="AK164" s="282"/>
      <c r="AL164" s="282"/>
      <c r="AM164" s="282"/>
    </row>
    <row r="165">
      <c r="AC165" s="282"/>
      <c r="AD165" s="282"/>
      <c r="AE165" s="282"/>
      <c r="AF165" s="282"/>
      <c r="AG165" s="282"/>
      <c r="AH165" s="282"/>
      <c r="AI165" s="282"/>
      <c r="AJ165" s="282"/>
      <c r="AK165" s="282"/>
      <c r="AL165" s="282"/>
      <c r="AM165" s="282"/>
    </row>
    <row r="166">
      <c r="AC166" s="282"/>
      <c r="AD166" s="282"/>
      <c r="AE166" s="282"/>
      <c r="AF166" s="282"/>
      <c r="AG166" s="282"/>
      <c r="AH166" s="282"/>
      <c r="AI166" s="282"/>
      <c r="AJ166" s="282"/>
      <c r="AK166" s="282"/>
      <c r="AL166" s="282"/>
      <c r="AM166" s="282"/>
    </row>
    <row r="167">
      <c r="AC167" s="282"/>
      <c r="AD167" s="282"/>
      <c r="AE167" s="282"/>
      <c r="AF167" s="282"/>
      <c r="AG167" s="282"/>
      <c r="AH167" s="282"/>
      <c r="AI167" s="282"/>
      <c r="AJ167" s="282"/>
      <c r="AK167" s="282"/>
      <c r="AL167" s="282"/>
      <c r="AM167" s="282"/>
    </row>
    <row r="168">
      <c r="AC168" s="282"/>
      <c r="AD168" s="282"/>
      <c r="AE168" s="282"/>
      <c r="AF168" s="282"/>
      <c r="AG168" s="282"/>
      <c r="AH168" s="282"/>
      <c r="AI168" s="282"/>
      <c r="AJ168" s="282"/>
      <c r="AK168" s="282"/>
      <c r="AL168" s="282"/>
      <c r="AM168" s="282"/>
    </row>
    <row r="169"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  <c r="AM169" s="282"/>
    </row>
    <row r="170"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  <c r="AM170" s="282"/>
    </row>
    <row r="171"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  <c r="AM171" s="282"/>
    </row>
    <row r="172"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  <c r="AM172" s="282"/>
    </row>
    <row r="173"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  <c r="AM173" s="282"/>
    </row>
    <row r="174"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  <c r="AM174" s="282"/>
    </row>
    <row r="175"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  <c r="AM175" s="282"/>
    </row>
    <row r="176"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  <c r="AM176" s="282"/>
    </row>
    <row r="177"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  <c r="AM177" s="282"/>
    </row>
    <row r="178"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  <c r="AM178" s="282"/>
    </row>
    <row r="179"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  <c r="AM179" s="282"/>
    </row>
    <row r="180"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  <c r="AM180" s="282"/>
    </row>
    <row r="181"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  <c r="AM181" s="282"/>
    </row>
    <row r="182"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  <c r="AM182" s="282"/>
    </row>
    <row r="183"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  <c r="AM183" s="282"/>
    </row>
    <row r="184"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  <c r="AM184" s="282"/>
    </row>
    <row r="185"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  <c r="AM185" s="282"/>
    </row>
    <row r="186">
      <c r="AC186" s="282"/>
      <c r="AD186" s="282"/>
      <c r="AE186" s="282"/>
      <c r="AF186" s="282"/>
      <c r="AG186" s="282"/>
      <c r="AH186" s="282"/>
      <c r="AI186" s="282"/>
      <c r="AJ186" s="282"/>
      <c r="AK186" s="282"/>
      <c r="AL186" s="282"/>
      <c r="AM186" s="282"/>
    </row>
    <row r="187">
      <c r="AC187" s="282"/>
      <c r="AD187" s="282"/>
      <c r="AE187" s="282"/>
      <c r="AF187" s="282"/>
      <c r="AG187" s="282"/>
      <c r="AH187" s="282"/>
      <c r="AI187" s="282"/>
      <c r="AJ187" s="282"/>
      <c r="AK187" s="282"/>
      <c r="AL187" s="282"/>
      <c r="AM187" s="282"/>
    </row>
    <row r="188">
      <c r="AC188" s="282"/>
      <c r="AD188" s="282"/>
      <c r="AE188" s="282"/>
      <c r="AF188" s="282"/>
      <c r="AG188" s="282"/>
      <c r="AH188" s="282"/>
      <c r="AI188" s="282"/>
      <c r="AJ188" s="282"/>
      <c r="AK188" s="282"/>
      <c r="AL188" s="282"/>
      <c r="AM188" s="282"/>
    </row>
    <row r="189">
      <c r="AC189" s="282"/>
      <c r="AD189" s="282"/>
      <c r="AE189" s="282"/>
      <c r="AF189" s="282"/>
      <c r="AG189" s="282"/>
      <c r="AH189" s="282"/>
      <c r="AI189" s="282"/>
      <c r="AJ189" s="282"/>
      <c r="AK189" s="282"/>
      <c r="AL189" s="282"/>
      <c r="AM189" s="282"/>
    </row>
    <row r="190">
      <c r="AC190" s="282"/>
      <c r="AD190" s="282"/>
      <c r="AE190" s="282"/>
      <c r="AF190" s="282"/>
      <c r="AG190" s="282"/>
      <c r="AH190" s="282"/>
      <c r="AI190" s="282"/>
      <c r="AJ190" s="282"/>
      <c r="AK190" s="282"/>
      <c r="AL190" s="282"/>
      <c r="AM190" s="282"/>
    </row>
    <row r="191">
      <c r="AC191" s="282"/>
      <c r="AD191" s="282"/>
      <c r="AE191" s="282"/>
      <c r="AF191" s="282"/>
      <c r="AG191" s="282"/>
      <c r="AH191" s="282"/>
      <c r="AI191" s="282"/>
      <c r="AJ191" s="282"/>
      <c r="AK191" s="282"/>
      <c r="AL191" s="282"/>
      <c r="AM191" s="282"/>
    </row>
    <row r="192">
      <c r="AC192" s="282"/>
      <c r="AD192" s="282"/>
      <c r="AE192" s="282"/>
      <c r="AF192" s="282"/>
      <c r="AG192" s="282"/>
      <c r="AH192" s="282"/>
      <c r="AI192" s="282"/>
      <c r="AJ192" s="282"/>
      <c r="AK192" s="282"/>
      <c r="AL192" s="282"/>
      <c r="AM192" s="282"/>
    </row>
    <row r="193">
      <c r="AC193" s="282"/>
      <c r="AD193" s="282"/>
      <c r="AE193" s="282"/>
      <c r="AF193" s="282"/>
      <c r="AG193" s="282"/>
      <c r="AH193" s="282"/>
      <c r="AI193" s="282"/>
      <c r="AJ193" s="282"/>
      <c r="AK193" s="282"/>
      <c r="AL193" s="282"/>
      <c r="AM193" s="282"/>
    </row>
    <row r="194">
      <c r="AC194" s="282"/>
      <c r="AD194" s="282"/>
      <c r="AE194" s="282"/>
      <c r="AF194" s="282"/>
      <c r="AG194" s="282"/>
      <c r="AH194" s="282"/>
      <c r="AI194" s="282"/>
      <c r="AJ194" s="282"/>
      <c r="AK194" s="282"/>
      <c r="AL194" s="282"/>
      <c r="AM194" s="282"/>
    </row>
    <row r="195">
      <c r="AC195" s="282"/>
      <c r="AD195" s="282"/>
      <c r="AE195" s="282"/>
      <c r="AF195" s="282"/>
      <c r="AG195" s="282"/>
      <c r="AH195" s="282"/>
      <c r="AI195" s="282"/>
      <c r="AJ195" s="282"/>
      <c r="AK195" s="282"/>
      <c r="AL195" s="282"/>
      <c r="AM195" s="282"/>
    </row>
    <row r="196">
      <c r="AC196" s="282"/>
      <c r="AD196" s="282"/>
      <c r="AE196" s="282"/>
      <c r="AF196" s="282"/>
      <c r="AG196" s="282"/>
      <c r="AH196" s="282"/>
      <c r="AI196" s="282"/>
      <c r="AJ196" s="282"/>
      <c r="AK196" s="282"/>
      <c r="AL196" s="282"/>
      <c r="AM196" s="282"/>
    </row>
    <row r="197">
      <c r="AC197" s="282"/>
      <c r="AD197" s="282"/>
      <c r="AE197" s="282"/>
      <c r="AF197" s="282"/>
      <c r="AG197" s="282"/>
      <c r="AH197" s="282"/>
      <c r="AI197" s="282"/>
      <c r="AJ197" s="282"/>
      <c r="AK197" s="282"/>
      <c r="AL197" s="282"/>
      <c r="AM197" s="282"/>
    </row>
    <row r="198">
      <c r="AC198" s="282"/>
      <c r="AD198" s="282"/>
      <c r="AE198" s="282"/>
      <c r="AF198" s="282"/>
      <c r="AG198" s="282"/>
      <c r="AH198" s="282"/>
      <c r="AI198" s="282"/>
      <c r="AJ198" s="282"/>
      <c r="AK198" s="282"/>
      <c r="AL198" s="282"/>
      <c r="AM198" s="282"/>
    </row>
    <row r="199"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</row>
    <row r="200"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</row>
    <row r="201">
      <c r="AC201" s="282"/>
      <c r="AD201" s="282"/>
      <c r="AE201" s="282"/>
      <c r="AF201" s="282"/>
      <c r="AG201" s="282"/>
      <c r="AH201" s="282"/>
      <c r="AI201" s="282"/>
      <c r="AJ201" s="282"/>
      <c r="AK201" s="282"/>
      <c r="AL201" s="282"/>
      <c r="AM201" s="282"/>
    </row>
    <row r="202">
      <c r="AC202" s="282"/>
      <c r="AD202" s="282"/>
      <c r="AE202" s="282"/>
      <c r="AF202" s="282"/>
      <c r="AG202" s="282"/>
      <c r="AH202" s="282"/>
      <c r="AI202" s="282"/>
      <c r="AJ202" s="282"/>
      <c r="AK202" s="282"/>
      <c r="AL202" s="282"/>
      <c r="AM202" s="282"/>
    </row>
    <row r="203">
      <c r="AC203" s="282"/>
      <c r="AD203" s="282"/>
      <c r="AE203" s="282"/>
      <c r="AF203" s="282"/>
      <c r="AG203" s="282"/>
      <c r="AH203" s="282"/>
      <c r="AI203" s="282"/>
      <c r="AJ203" s="282"/>
      <c r="AK203" s="282"/>
      <c r="AL203" s="282"/>
      <c r="AM203" s="282"/>
    </row>
    <row r="204">
      <c r="AC204" s="282"/>
      <c r="AD204" s="282"/>
      <c r="AE204" s="282"/>
      <c r="AF204" s="282"/>
      <c r="AG204" s="282"/>
      <c r="AH204" s="282"/>
      <c r="AI204" s="282"/>
      <c r="AJ204" s="282"/>
      <c r="AK204" s="282"/>
      <c r="AL204" s="282"/>
      <c r="AM204" s="282"/>
    </row>
    <row r="205">
      <c r="AC205" s="282"/>
      <c r="AD205" s="282"/>
      <c r="AE205" s="282"/>
      <c r="AF205" s="282"/>
      <c r="AG205" s="282"/>
      <c r="AH205" s="282"/>
      <c r="AI205" s="282"/>
      <c r="AJ205" s="282"/>
      <c r="AK205" s="282"/>
      <c r="AL205" s="282"/>
      <c r="AM205" s="282"/>
    </row>
    <row r="206">
      <c r="AC206" s="282"/>
      <c r="AD206" s="282"/>
      <c r="AE206" s="282"/>
      <c r="AF206" s="282"/>
      <c r="AG206" s="282"/>
      <c r="AH206" s="282"/>
      <c r="AI206" s="282"/>
      <c r="AJ206" s="282"/>
      <c r="AK206" s="282"/>
      <c r="AL206" s="282"/>
      <c r="AM206" s="282"/>
    </row>
    <row r="207">
      <c r="AC207" s="282"/>
      <c r="AD207" s="282"/>
      <c r="AE207" s="282"/>
      <c r="AF207" s="282"/>
      <c r="AG207" s="282"/>
      <c r="AH207" s="282"/>
      <c r="AI207" s="282"/>
      <c r="AJ207" s="282"/>
      <c r="AK207" s="282"/>
      <c r="AL207" s="282"/>
      <c r="AM207" s="282"/>
    </row>
    <row r="208"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282"/>
      <c r="AM208" s="282"/>
    </row>
    <row r="209">
      <c r="AC209" s="282"/>
      <c r="AD209" s="282"/>
      <c r="AE209" s="282"/>
      <c r="AF209" s="282"/>
      <c r="AG209" s="282"/>
      <c r="AH209" s="282"/>
      <c r="AI209" s="282"/>
      <c r="AJ209" s="282"/>
      <c r="AK209" s="282"/>
      <c r="AL209" s="282"/>
      <c r="AM209" s="282"/>
    </row>
    <row r="210">
      <c r="AC210" s="282"/>
      <c r="AD210" s="282"/>
      <c r="AE210" s="282"/>
      <c r="AF210" s="282"/>
      <c r="AG210" s="282"/>
      <c r="AH210" s="282"/>
      <c r="AI210" s="282"/>
      <c r="AJ210" s="282"/>
      <c r="AK210" s="282"/>
      <c r="AL210" s="282"/>
      <c r="AM210" s="282"/>
    </row>
    <row r="211">
      <c r="AC211" s="282"/>
      <c r="AD211" s="282"/>
      <c r="AE211" s="282"/>
      <c r="AF211" s="282"/>
      <c r="AG211" s="282"/>
      <c r="AH211" s="282"/>
      <c r="AI211" s="282"/>
      <c r="AJ211" s="282"/>
      <c r="AK211" s="282"/>
      <c r="AL211" s="282"/>
      <c r="AM211" s="282"/>
    </row>
    <row r="212">
      <c r="AC212" s="282"/>
      <c r="AD212" s="282"/>
      <c r="AE212" s="282"/>
      <c r="AF212" s="282"/>
      <c r="AG212" s="282"/>
      <c r="AH212" s="282"/>
      <c r="AI212" s="282"/>
      <c r="AJ212" s="282"/>
      <c r="AK212" s="282"/>
      <c r="AL212" s="282"/>
      <c r="AM212" s="282"/>
    </row>
    <row r="213">
      <c r="AC213" s="282"/>
      <c r="AD213" s="282"/>
      <c r="AE213" s="282"/>
      <c r="AF213" s="282"/>
      <c r="AG213" s="282"/>
      <c r="AH213" s="282"/>
      <c r="AI213" s="282"/>
      <c r="AJ213" s="282"/>
      <c r="AK213" s="282"/>
      <c r="AL213" s="282"/>
      <c r="AM213" s="282"/>
    </row>
    <row r="214">
      <c r="AC214" s="282"/>
      <c r="AD214" s="282"/>
      <c r="AE214" s="282"/>
      <c r="AF214" s="282"/>
      <c r="AG214" s="282"/>
      <c r="AH214" s="282"/>
      <c r="AI214" s="282"/>
      <c r="AJ214" s="282"/>
      <c r="AK214" s="282"/>
      <c r="AL214" s="282"/>
      <c r="AM214" s="282"/>
    </row>
    <row r="215">
      <c r="AC215" s="282"/>
      <c r="AD215" s="282"/>
      <c r="AE215" s="282"/>
      <c r="AF215" s="282"/>
      <c r="AG215" s="282"/>
      <c r="AH215" s="282"/>
      <c r="AI215" s="282"/>
      <c r="AJ215" s="282"/>
      <c r="AK215" s="282"/>
      <c r="AL215" s="282"/>
      <c r="AM215" s="282"/>
    </row>
    <row r="216">
      <c r="AC216" s="282"/>
      <c r="AD216" s="282"/>
      <c r="AE216" s="282"/>
      <c r="AF216" s="282"/>
      <c r="AG216" s="282"/>
      <c r="AH216" s="282"/>
      <c r="AI216" s="282"/>
      <c r="AJ216" s="282"/>
      <c r="AK216" s="282"/>
      <c r="AL216" s="282"/>
      <c r="AM216" s="282"/>
    </row>
    <row r="217">
      <c r="AC217" s="282"/>
      <c r="AD217" s="282"/>
      <c r="AE217" s="282"/>
      <c r="AF217" s="282"/>
      <c r="AG217" s="282"/>
      <c r="AH217" s="282"/>
      <c r="AI217" s="282"/>
      <c r="AJ217" s="282"/>
      <c r="AK217" s="282"/>
      <c r="AL217" s="282"/>
      <c r="AM217" s="282"/>
    </row>
    <row r="218">
      <c r="AC218" s="282"/>
      <c r="AD218" s="282"/>
      <c r="AE218" s="282"/>
      <c r="AF218" s="282"/>
      <c r="AG218" s="282"/>
      <c r="AH218" s="282"/>
      <c r="AI218" s="282"/>
      <c r="AJ218" s="282"/>
      <c r="AK218" s="282"/>
      <c r="AL218" s="282"/>
      <c r="AM218" s="282"/>
    </row>
    <row r="219">
      <c r="AC219" s="282"/>
      <c r="AD219" s="282"/>
      <c r="AE219" s="282"/>
      <c r="AF219" s="282"/>
      <c r="AG219" s="282"/>
      <c r="AH219" s="282"/>
      <c r="AI219" s="282"/>
      <c r="AJ219" s="282"/>
      <c r="AK219" s="282"/>
      <c r="AL219" s="282"/>
      <c r="AM219" s="282"/>
    </row>
    <row r="220">
      <c r="AC220" s="282"/>
      <c r="AD220" s="282"/>
      <c r="AE220" s="282"/>
      <c r="AF220" s="282"/>
      <c r="AG220" s="282"/>
      <c r="AH220" s="282"/>
      <c r="AI220" s="282"/>
      <c r="AJ220" s="282"/>
      <c r="AK220" s="282"/>
      <c r="AL220" s="282"/>
      <c r="AM220" s="282"/>
    </row>
    <row r="221">
      <c r="AC221" s="282"/>
      <c r="AD221" s="282"/>
      <c r="AE221" s="282"/>
      <c r="AF221" s="282"/>
      <c r="AG221" s="282"/>
      <c r="AH221" s="282"/>
      <c r="AI221" s="282"/>
      <c r="AJ221" s="282"/>
      <c r="AK221" s="282"/>
      <c r="AL221" s="282"/>
      <c r="AM221" s="282"/>
    </row>
    <row r="222">
      <c r="AC222" s="282"/>
      <c r="AD222" s="282"/>
      <c r="AE222" s="282"/>
      <c r="AF222" s="282"/>
      <c r="AG222" s="282"/>
      <c r="AH222" s="282"/>
      <c r="AI222" s="282"/>
      <c r="AJ222" s="282"/>
      <c r="AK222" s="282"/>
      <c r="AL222" s="282"/>
      <c r="AM222" s="282"/>
    </row>
    <row r="223">
      <c r="AC223" s="282"/>
      <c r="AD223" s="282"/>
      <c r="AE223" s="282"/>
      <c r="AF223" s="282"/>
      <c r="AG223" s="282"/>
      <c r="AH223" s="282"/>
      <c r="AI223" s="282"/>
      <c r="AJ223" s="282"/>
      <c r="AK223" s="282"/>
      <c r="AL223" s="282"/>
      <c r="AM223" s="282"/>
    </row>
    <row r="224">
      <c r="AC224" s="282"/>
      <c r="AD224" s="282"/>
      <c r="AE224" s="282"/>
      <c r="AF224" s="282"/>
      <c r="AG224" s="282"/>
      <c r="AH224" s="282"/>
      <c r="AI224" s="282"/>
      <c r="AJ224" s="282"/>
      <c r="AK224" s="282"/>
      <c r="AL224" s="282"/>
      <c r="AM224" s="282"/>
    </row>
    <row r="225">
      <c r="AC225" s="282"/>
      <c r="AD225" s="282"/>
      <c r="AE225" s="282"/>
      <c r="AF225" s="282"/>
      <c r="AG225" s="282"/>
      <c r="AH225" s="282"/>
      <c r="AI225" s="282"/>
      <c r="AJ225" s="282"/>
      <c r="AK225" s="282"/>
      <c r="AL225" s="282"/>
      <c r="AM225" s="282"/>
    </row>
    <row r="226">
      <c r="AC226" s="282"/>
      <c r="AD226" s="282"/>
      <c r="AE226" s="282"/>
      <c r="AF226" s="282"/>
      <c r="AG226" s="282"/>
      <c r="AH226" s="282"/>
      <c r="AI226" s="282"/>
      <c r="AJ226" s="282"/>
      <c r="AK226" s="282"/>
      <c r="AL226" s="282"/>
      <c r="AM226" s="282"/>
    </row>
    <row r="227">
      <c r="AC227" s="282"/>
      <c r="AD227" s="282"/>
      <c r="AE227" s="282"/>
      <c r="AF227" s="282"/>
      <c r="AG227" s="282"/>
      <c r="AH227" s="282"/>
      <c r="AI227" s="282"/>
      <c r="AJ227" s="282"/>
      <c r="AK227" s="282"/>
      <c r="AL227" s="282"/>
      <c r="AM227" s="282"/>
    </row>
    <row r="228">
      <c r="AC228" s="282"/>
      <c r="AD228" s="282"/>
      <c r="AE228" s="282"/>
      <c r="AF228" s="282"/>
      <c r="AG228" s="282"/>
      <c r="AH228" s="282"/>
      <c r="AI228" s="282"/>
      <c r="AJ228" s="282"/>
      <c r="AK228" s="282"/>
      <c r="AL228" s="282"/>
      <c r="AM228" s="282"/>
    </row>
    <row r="229"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  <c r="AM229" s="282"/>
    </row>
    <row r="230"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  <c r="AM230" s="282"/>
    </row>
    <row r="231"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  <c r="AM231" s="282"/>
    </row>
    <row r="232"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  <c r="AM232" s="282"/>
    </row>
    <row r="233"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  <c r="AM233" s="282"/>
    </row>
    <row r="234"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  <c r="AM234" s="282"/>
    </row>
    <row r="235"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  <c r="AM235" s="282"/>
    </row>
    <row r="236"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  <c r="AM236" s="282"/>
    </row>
    <row r="237"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  <c r="AM237" s="282"/>
    </row>
    <row r="238"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  <c r="AM238" s="282"/>
    </row>
    <row r="239"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  <c r="AM239" s="282"/>
    </row>
    <row r="240"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  <c r="AM240" s="282"/>
    </row>
    <row r="241">
      <c r="AC241" s="282"/>
      <c r="AD241" s="282"/>
      <c r="AE241" s="282"/>
      <c r="AF241" s="282"/>
      <c r="AG241" s="282"/>
      <c r="AH241" s="282"/>
      <c r="AI241" s="282"/>
      <c r="AJ241" s="282"/>
      <c r="AK241" s="282"/>
      <c r="AL241" s="282"/>
      <c r="AM241" s="282"/>
    </row>
    <row r="242">
      <c r="AC242" s="282"/>
      <c r="AD242" s="282"/>
      <c r="AE242" s="282"/>
      <c r="AF242" s="282"/>
      <c r="AG242" s="282"/>
      <c r="AH242" s="282"/>
      <c r="AI242" s="282"/>
      <c r="AJ242" s="282"/>
      <c r="AK242" s="282"/>
      <c r="AL242" s="282"/>
      <c r="AM242" s="282"/>
    </row>
    <row r="243">
      <c r="AC243" s="282"/>
      <c r="AD243" s="282"/>
      <c r="AE243" s="282"/>
      <c r="AF243" s="282"/>
      <c r="AG243" s="282"/>
      <c r="AH243" s="282"/>
      <c r="AI243" s="282"/>
      <c r="AJ243" s="282"/>
      <c r="AK243" s="282"/>
      <c r="AL243" s="282"/>
      <c r="AM243" s="282"/>
    </row>
    <row r="244">
      <c r="AC244" s="282"/>
      <c r="AD244" s="282"/>
      <c r="AE244" s="282"/>
      <c r="AF244" s="282"/>
      <c r="AG244" s="282"/>
      <c r="AH244" s="282"/>
      <c r="AI244" s="282"/>
      <c r="AJ244" s="282"/>
      <c r="AK244" s="282"/>
      <c r="AL244" s="282"/>
      <c r="AM244" s="282"/>
    </row>
    <row r="245">
      <c r="AC245" s="282"/>
      <c r="AD245" s="282"/>
      <c r="AE245" s="282"/>
      <c r="AF245" s="282"/>
      <c r="AG245" s="282"/>
      <c r="AH245" s="282"/>
      <c r="AI245" s="282"/>
      <c r="AJ245" s="282"/>
      <c r="AK245" s="282"/>
      <c r="AL245" s="282"/>
      <c r="AM245" s="282"/>
    </row>
    <row r="246">
      <c r="AC246" s="282"/>
      <c r="AD246" s="282"/>
      <c r="AE246" s="282"/>
      <c r="AF246" s="282"/>
      <c r="AG246" s="282"/>
      <c r="AH246" s="282"/>
      <c r="AI246" s="282"/>
      <c r="AJ246" s="282"/>
      <c r="AK246" s="282"/>
      <c r="AL246" s="282"/>
      <c r="AM246" s="282"/>
    </row>
    <row r="247">
      <c r="AC247" s="282"/>
      <c r="AD247" s="282"/>
      <c r="AE247" s="282"/>
      <c r="AF247" s="282"/>
      <c r="AG247" s="282"/>
      <c r="AH247" s="282"/>
      <c r="AI247" s="282"/>
      <c r="AJ247" s="282"/>
      <c r="AK247" s="282"/>
      <c r="AL247" s="282"/>
      <c r="AM247" s="282"/>
    </row>
    <row r="248">
      <c r="AC248" s="282"/>
      <c r="AD248" s="282"/>
      <c r="AE248" s="282"/>
      <c r="AF248" s="282"/>
      <c r="AG248" s="282"/>
      <c r="AH248" s="282"/>
      <c r="AI248" s="282"/>
      <c r="AJ248" s="282"/>
      <c r="AK248" s="282"/>
      <c r="AL248" s="282"/>
      <c r="AM248" s="282"/>
    </row>
    <row r="249">
      <c r="AC249" s="282"/>
      <c r="AD249" s="282"/>
      <c r="AE249" s="282"/>
      <c r="AF249" s="282"/>
      <c r="AG249" s="282"/>
      <c r="AH249" s="282"/>
      <c r="AI249" s="282"/>
      <c r="AJ249" s="282"/>
      <c r="AK249" s="282"/>
      <c r="AL249" s="282"/>
      <c r="AM249" s="282"/>
    </row>
    <row r="250">
      <c r="AC250" s="282"/>
      <c r="AD250" s="282"/>
      <c r="AE250" s="282"/>
      <c r="AF250" s="282"/>
      <c r="AG250" s="282"/>
      <c r="AH250" s="282"/>
      <c r="AI250" s="282"/>
      <c r="AJ250" s="282"/>
      <c r="AK250" s="282"/>
      <c r="AL250" s="282"/>
      <c r="AM250" s="282"/>
    </row>
    <row r="251">
      <c r="AC251" s="282"/>
      <c r="AD251" s="282"/>
      <c r="AE251" s="282"/>
      <c r="AF251" s="282"/>
      <c r="AG251" s="282"/>
      <c r="AH251" s="282"/>
      <c r="AI251" s="282"/>
      <c r="AJ251" s="282"/>
      <c r="AK251" s="282"/>
      <c r="AL251" s="282"/>
      <c r="AM251" s="282"/>
    </row>
    <row r="252">
      <c r="AC252" s="282"/>
      <c r="AD252" s="282"/>
      <c r="AE252" s="282"/>
      <c r="AF252" s="282"/>
      <c r="AG252" s="282"/>
      <c r="AH252" s="282"/>
      <c r="AI252" s="282"/>
      <c r="AJ252" s="282"/>
      <c r="AK252" s="282"/>
      <c r="AL252" s="282"/>
      <c r="AM252" s="282"/>
    </row>
    <row r="253">
      <c r="AC253" s="282"/>
      <c r="AD253" s="282"/>
      <c r="AE253" s="282"/>
      <c r="AF253" s="282"/>
      <c r="AG253" s="282"/>
      <c r="AH253" s="282"/>
      <c r="AI253" s="282"/>
      <c r="AJ253" s="282"/>
      <c r="AK253" s="282"/>
      <c r="AL253" s="282"/>
      <c r="AM253" s="282"/>
    </row>
    <row r="254">
      <c r="AC254" s="282"/>
      <c r="AD254" s="282"/>
      <c r="AE254" s="282"/>
      <c r="AF254" s="282"/>
      <c r="AG254" s="282"/>
      <c r="AH254" s="282"/>
      <c r="AI254" s="282"/>
      <c r="AJ254" s="282"/>
      <c r="AK254" s="282"/>
      <c r="AL254" s="282"/>
      <c r="AM254" s="282"/>
    </row>
    <row r="255">
      <c r="AC255" s="282"/>
      <c r="AD255" s="282"/>
      <c r="AE255" s="282"/>
      <c r="AF255" s="282"/>
      <c r="AG255" s="282"/>
      <c r="AH255" s="282"/>
      <c r="AI255" s="282"/>
      <c r="AJ255" s="282"/>
      <c r="AK255" s="282"/>
      <c r="AL255" s="282"/>
      <c r="AM255" s="282"/>
    </row>
    <row r="256">
      <c r="AC256" s="282"/>
      <c r="AD256" s="282"/>
      <c r="AE256" s="282"/>
      <c r="AF256" s="282"/>
      <c r="AG256" s="282"/>
      <c r="AH256" s="282"/>
      <c r="AI256" s="282"/>
      <c r="AJ256" s="282"/>
      <c r="AK256" s="282"/>
      <c r="AL256" s="282"/>
      <c r="AM256" s="282"/>
    </row>
    <row r="257">
      <c r="AC257" s="282"/>
      <c r="AD257" s="282"/>
      <c r="AE257" s="282"/>
      <c r="AF257" s="282"/>
      <c r="AG257" s="282"/>
      <c r="AH257" s="282"/>
      <c r="AI257" s="282"/>
      <c r="AJ257" s="282"/>
      <c r="AK257" s="282"/>
      <c r="AL257" s="282"/>
      <c r="AM257" s="282"/>
    </row>
    <row r="258"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  <c r="AM258" s="282"/>
    </row>
    <row r="259"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  <c r="AM259" s="282"/>
    </row>
    <row r="260">
      <c r="AC260" s="282"/>
      <c r="AD260" s="282"/>
      <c r="AE260" s="282"/>
      <c r="AF260" s="282"/>
      <c r="AG260" s="282"/>
      <c r="AH260" s="282"/>
      <c r="AI260" s="282"/>
      <c r="AJ260" s="282"/>
      <c r="AK260" s="282"/>
      <c r="AL260" s="282"/>
      <c r="AM260" s="282"/>
    </row>
    <row r="261">
      <c r="AC261" s="282"/>
      <c r="AD261" s="282"/>
      <c r="AE261" s="282"/>
      <c r="AF261" s="282"/>
      <c r="AG261" s="282"/>
      <c r="AH261" s="282"/>
      <c r="AI261" s="282"/>
      <c r="AJ261" s="282"/>
      <c r="AK261" s="282"/>
      <c r="AL261" s="282"/>
      <c r="AM261" s="282"/>
    </row>
    <row r="262">
      <c r="AC262" s="282"/>
      <c r="AD262" s="282"/>
      <c r="AE262" s="282"/>
      <c r="AF262" s="282"/>
      <c r="AG262" s="282"/>
      <c r="AH262" s="282"/>
      <c r="AI262" s="282"/>
      <c r="AJ262" s="282"/>
      <c r="AK262" s="282"/>
      <c r="AL262" s="282"/>
      <c r="AM262" s="282"/>
    </row>
    <row r="263">
      <c r="AC263" s="282"/>
      <c r="AD263" s="282"/>
      <c r="AE263" s="282"/>
      <c r="AF263" s="282"/>
      <c r="AG263" s="282"/>
      <c r="AH263" s="282"/>
      <c r="AI263" s="282"/>
      <c r="AJ263" s="282"/>
      <c r="AK263" s="282"/>
      <c r="AL263" s="282"/>
      <c r="AM263" s="282"/>
    </row>
    <row r="264">
      <c r="AC264" s="282"/>
      <c r="AD264" s="282"/>
      <c r="AE264" s="282"/>
      <c r="AF264" s="282"/>
      <c r="AG264" s="282"/>
      <c r="AH264" s="282"/>
      <c r="AI264" s="282"/>
      <c r="AJ264" s="282"/>
      <c r="AK264" s="282"/>
      <c r="AL264" s="282"/>
      <c r="AM264" s="282"/>
    </row>
    <row r="265">
      <c r="AC265" s="282"/>
      <c r="AD265" s="282"/>
      <c r="AE265" s="282"/>
      <c r="AF265" s="282"/>
      <c r="AG265" s="282"/>
      <c r="AH265" s="282"/>
      <c r="AI265" s="282"/>
      <c r="AJ265" s="282"/>
      <c r="AK265" s="282"/>
      <c r="AL265" s="282"/>
      <c r="AM265" s="282"/>
    </row>
    <row r="266">
      <c r="AC266" s="282"/>
      <c r="AD266" s="282"/>
      <c r="AE266" s="282"/>
      <c r="AF266" s="282"/>
      <c r="AG266" s="282"/>
      <c r="AH266" s="282"/>
      <c r="AI266" s="282"/>
      <c r="AJ266" s="282"/>
      <c r="AK266" s="282"/>
      <c r="AL266" s="282"/>
      <c r="AM266" s="282"/>
    </row>
    <row r="267">
      <c r="AC267" s="282"/>
      <c r="AD267" s="282"/>
      <c r="AE267" s="282"/>
      <c r="AF267" s="282"/>
      <c r="AG267" s="282"/>
      <c r="AH267" s="282"/>
      <c r="AI267" s="282"/>
      <c r="AJ267" s="282"/>
      <c r="AK267" s="282"/>
      <c r="AL267" s="282"/>
      <c r="AM267" s="282"/>
    </row>
    <row r="268">
      <c r="AC268" s="282"/>
      <c r="AD268" s="282"/>
      <c r="AE268" s="282"/>
      <c r="AF268" s="282"/>
      <c r="AG268" s="282"/>
      <c r="AH268" s="282"/>
      <c r="AI268" s="282"/>
      <c r="AJ268" s="282"/>
      <c r="AK268" s="282"/>
      <c r="AL268" s="282"/>
      <c r="AM268" s="282"/>
    </row>
    <row r="269">
      <c r="AC269" s="282"/>
      <c r="AD269" s="282"/>
      <c r="AE269" s="282"/>
      <c r="AF269" s="282"/>
      <c r="AG269" s="282"/>
      <c r="AH269" s="282"/>
      <c r="AI269" s="282"/>
      <c r="AJ269" s="282"/>
      <c r="AK269" s="282"/>
      <c r="AL269" s="282"/>
      <c r="AM269" s="282"/>
    </row>
    <row r="270">
      <c r="AC270" s="282"/>
      <c r="AD270" s="282"/>
      <c r="AE270" s="282"/>
      <c r="AF270" s="282"/>
      <c r="AG270" s="282"/>
      <c r="AH270" s="282"/>
      <c r="AI270" s="282"/>
      <c r="AJ270" s="282"/>
      <c r="AK270" s="282"/>
      <c r="AL270" s="282"/>
      <c r="AM270" s="282"/>
    </row>
    <row r="271">
      <c r="AC271" s="282"/>
      <c r="AD271" s="282"/>
      <c r="AE271" s="282"/>
      <c r="AF271" s="282"/>
      <c r="AG271" s="282"/>
      <c r="AH271" s="282"/>
      <c r="AI271" s="282"/>
      <c r="AJ271" s="282"/>
      <c r="AK271" s="282"/>
      <c r="AL271" s="282"/>
      <c r="AM271" s="282"/>
    </row>
    <row r="272">
      <c r="AC272" s="282"/>
      <c r="AD272" s="282"/>
      <c r="AE272" s="282"/>
      <c r="AF272" s="282"/>
      <c r="AG272" s="282"/>
      <c r="AH272" s="282"/>
      <c r="AI272" s="282"/>
      <c r="AJ272" s="282"/>
      <c r="AK272" s="282"/>
      <c r="AL272" s="282"/>
      <c r="AM272" s="282"/>
    </row>
    <row r="273">
      <c r="AC273" s="282"/>
      <c r="AD273" s="282"/>
      <c r="AE273" s="282"/>
      <c r="AF273" s="282"/>
      <c r="AG273" s="282"/>
      <c r="AH273" s="282"/>
      <c r="AI273" s="282"/>
      <c r="AJ273" s="282"/>
      <c r="AK273" s="282"/>
      <c r="AL273" s="282"/>
      <c r="AM273" s="282"/>
    </row>
    <row r="274">
      <c r="AC274" s="282"/>
      <c r="AD274" s="282"/>
      <c r="AE274" s="282"/>
      <c r="AF274" s="282"/>
      <c r="AG274" s="282"/>
      <c r="AH274" s="282"/>
      <c r="AI274" s="282"/>
      <c r="AJ274" s="282"/>
      <c r="AK274" s="282"/>
      <c r="AL274" s="282"/>
      <c r="AM274" s="282"/>
    </row>
    <row r="275">
      <c r="AC275" s="282"/>
      <c r="AD275" s="282"/>
      <c r="AE275" s="282"/>
      <c r="AF275" s="282"/>
      <c r="AG275" s="282"/>
      <c r="AH275" s="282"/>
      <c r="AI275" s="282"/>
      <c r="AJ275" s="282"/>
      <c r="AK275" s="282"/>
      <c r="AL275" s="282"/>
      <c r="AM275" s="282"/>
    </row>
    <row r="276">
      <c r="AC276" s="282"/>
      <c r="AD276" s="282"/>
      <c r="AE276" s="282"/>
      <c r="AF276" s="282"/>
      <c r="AG276" s="282"/>
      <c r="AH276" s="282"/>
      <c r="AI276" s="282"/>
      <c r="AJ276" s="282"/>
      <c r="AK276" s="282"/>
      <c r="AL276" s="282"/>
      <c r="AM276" s="282"/>
    </row>
    <row r="277">
      <c r="AC277" s="282"/>
      <c r="AD277" s="282"/>
      <c r="AE277" s="282"/>
      <c r="AF277" s="282"/>
      <c r="AG277" s="282"/>
      <c r="AH277" s="282"/>
      <c r="AI277" s="282"/>
      <c r="AJ277" s="282"/>
      <c r="AK277" s="282"/>
      <c r="AL277" s="282"/>
      <c r="AM277" s="282"/>
    </row>
    <row r="278">
      <c r="AC278" s="282"/>
      <c r="AD278" s="282"/>
      <c r="AE278" s="282"/>
      <c r="AF278" s="282"/>
      <c r="AG278" s="282"/>
      <c r="AH278" s="282"/>
      <c r="AI278" s="282"/>
      <c r="AJ278" s="282"/>
      <c r="AK278" s="282"/>
      <c r="AL278" s="282"/>
      <c r="AM278" s="282"/>
    </row>
    <row r="279">
      <c r="AC279" s="282"/>
      <c r="AD279" s="282"/>
      <c r="AE279" s="282"/>
      <c r="AF279" s="282"/>
      <c r="AG279" s="282"/>
      <c r="AH279" s="282"/>
      <c r="AI279" s="282"/>
      <c r="AJ279" s="282"/>
      <c r="AK279" s="282"/>
      <c r="AL279" s="282"/>
      <c r="AM279" s="282"/>
    </row>
    <row r="280">
      <c r="AC280" s="282"/>
      <c r="AD280" s="282"/>
      <c r="AE280" s="282"/>
      <c r="AF280" s="282"/>
      <c r="AG280" s="282"/>
      <c r="AH280" s="282"/>
      <c r="AI280" s="282"/>
      <c r="AJ280" s="282"/>
      <c r="AK280" s="282"/>
      <c r="AL280" s="282"/>
      <c r="AM280" s="282"/>
    </row>
    <row r="281">
      <c r="AC281" s="282"/>
      <c r="AD281" s="282"/>
      <c r="AE281" s="282"/>
      <c r="AF281" s="282"/>
      <c r="AG281" s="282"/>
      <c r="AH281" s="282"/>
      <c r="AI281" s="282"/>
      <c r="AJ281" s="282"/>
      <c r="AK281" s="282"/>
      <c r="AL281" s="282"/>
      <c r="AM281" s="282"/>
    </row>
    <row r="282">
      <c r="AC282" s="282"/>
      <c r="AD282" s="282"/>
      <c r="AE282" s="282"/>
      <c r="AF282" s="282"/>
      <c r="AG282" s="282"/>
      <c r="AH282" s="282"/>
      <c r="AI282" s="282"/>
      <c r="AJ282" s="282"/>
      <c r="AK282" s="282"/>
      <c r="AL282" s="282"/>
      <c r="AM282" s="282"/>
    </row>
    <row r="283">
      <c r="AC283" s="282"/>
      <c r="AD283" s="282"/>
      <c r="AE283" s="282"/>
      <c r="AF283" s="282"/>
      <c r="AG283" s="282"/>
      <c r="AH283" s="282"/>
      <c r="AI283" s="282"/>
      <c r="AJ283" s="282"/>
      <c r="AK283" s="282"/>
      <c r="AL283" s="282"/>
      <c r="AM283" s="282"/>
    </row>
    <row r="284">
      <c r="AC284" s="282"/>
      <c r="AD284" s="282"/>
      <c r="AE284" s="282"/>
      <c r="AF284" s="282"/>
      <c r="AG284" s="282"/>
      <c r="AH284" s="282"/>
      <c r="AI284" s="282"/>
      <c r="AJ284" s="282"/>
      <c r="AK284" s="282"/>
      <c r="AL284" s="282"/>
      <c r="AM284" s="282"/>
    </row>
    <row r="285">
      <c r="AC285" s="282"/>
      <c r="AD285" s="282"/>
      <c r="AE285" s="282"/>
      <c r="AF285" s="282"/>
      <c r="AG285" s="282"/>
      <c r="AH285" s="282"/>
      <c r="AI285" s="282"/>
      <c r="AJ285" s="282"/>
      <c r="AK285" s="282"/>
      <c r="AL285" s="282"/>
      <c r="AM285" s="282"/>
    </row>
    <row r="286">
      <c r="AC286" s="282"/>
      <c r="AD286" s="282"/>
      <c r="AE286" s="282"/>
      <c r="AF286" s="282"/>
      <c r="AG286" s="282"/>
      <c r="AH286" s="282"/>
      <c r="AI286" s="282"/>
      <c r="AJ286" s="282"/>
      <c r="AK286" s="282"/>
      <c r="AL286" s="282"/>
      <c r="AM286" s="282"/>
    </row>
    <row r="287">
      <c r="AC287" s="282"/>
      <c r="AD287" s="282"/>
      <c r="AE287" s="282"/>
      <c r="AF287" s="282"/>
      <c r="AG287" s="282"/>
      <c r="AH287" s="282"/>
      <c r="AI287" s="282"/>
      <c r="AJ287" s="282"/>
      <c r="AK287" s="282"/>
      <c r="AL287" s="282"/>
      <c r="AM287" s="282"/>
    </row>
    <row r="288">
      <c r="AC288" s="282"/>
      <c r="AD288" s="282"/>
      <c r="AE288" s="282"/>
      <c r="AF288" s="282"/>
      <c r="AG288" s="282"/>
      <c r="AH288" s="282"/>
      <c r="AI288" s="282"/>
      <c r="AJ288" s="282"/>
      <c r="AK288" s="282"/>
      <c r="AL288" s="282"/>
      <c r="AM288" s="282"/>
    </row>
    <row r="289">
      <c r="AC289" s="282"/>
      <c r="AD289" s="282"/>
      <c r="AE289" s="282"/>
      <c r="AF289" s="282"/>
      <c r="AG289" s="282"/>
      <c r="AH289" s="282"/>
      <c r="AI289" s="282"/>
      <c r="AJ289" s="282"/>
      <c r="AK289" s="282"/>
      <c r="AL289" s="282"/>
      <c r="AM289" s="282"/>
    </row>
    <row r="290">
      <c r="AC290" s="282"/>
      <c r="AD290" s="282"/>
      <c r="AE290" s="282"/>
      <c r="AF290" s="282"/>
      <c r="AG290" s="282"/>
      <c r="AH290" s="282"/>
      <c r="AI290" s="282"/>
      <c r="AJ290" s="282"/>
      <c r="AK290" s="282"/>
      <c r="AL290" s="282"/>
      <c r="AM290" s="282"/>
    </row>
    <row r="291">
      <c r="AC291" s="282"/>
      <c r="AD291" s="282"/>
      <c r="AE291" s="282"/>
      <c r="AF291" s="282"/>
      <c r="AG291" s="282"/>
      <c r="AH291" s="282"/>
      <c r="AI291" s="282"/>
      <c r="AJ291" s="282"/>
      <c r="AK291" s="282"/>
      <c r="AL291" s="282"/>
      <c r="AM291" s="282"/>
    </row>
    <row r="292">
      <c r="AC292" s="282"/>
      <c r="AD292" s="282"/>
      <c r="AE292" s="282"/>
      <c r="AF292" s="282"/>
      <c r="AG292" s="282"/>
      <c r="AH292" s="282"/>
      <c r="AI292" s="282"/>
      <c r="AJ292" s="282"/>
      <c r="AK292" s="282"/>
      <c r="AL292" s="282"/>
      <c r="AM292" s="282"/>
    </row>
    <row r="293">
      <c r="AC293" s="282"/>
      <c r="AD293" s="282"/>
      <c r="AE293" s="282"/>
      <c r="AF293" s="282"/>
      <c r="AG293" s="282"/>
      <c r="AH293" s="282"/>
      <c r="AI293" s="282"/>
      <c r="AJ293" s="282"/>
      <c r="AK293" s="282"/>
      <c r="AL293" s="282"/>
      <c r="AM293" s="282"/>
    </row>
    <row r="294">
      <c r="AC294" s="282"/>
      <c r="AD294" s="282"/>
      <c r="AE294" s="282"/>
      <c r="AF294" s="282"/>
      <c r="AG294" s="282"/>
      <c r="AH294" s="282"/>
      <c r="AI294" s="282"/>
      <c r="AJ294" s="282"/>
      <c r="AK294" s="282"/>
      <c r="AL294" s="282"/>
      <c r="AM294" s="282"/>
    </row>
    <row r="295">
      <c r="AC295" s="282"/>
      <c r="AD295" s="282"/>
      <c r="AE295" s="282"/>
      <c r="AF295" s="282"/>
      <c r="AG295" s="282"/>
      <c r="AH295" s="282"/>
      <c r="AI295" s="282"/>
      <c r="AJ295" s="282"/>
      <c r="AK295" s="282"/>
      <c r="AL295" s="282"/>
      <c r="AM295" s="282"/>
    </row>
    <row r="296">
      <c r="AC296" s="282"/>
      <c r="AD296" s="282"/>
      <c r="AE296" s="282"/>
      <c r="AF296" s="282"/>
      <c r="AG296" s="282"/>
      <c r="AH296" s="282"/>
      <c r="AI296" s="282"/>
      <c r="AJ296" s="282"/>
      <c r="AK296" s="282"/>
      <c r="AL296" s="282"/>
      <c r="AM296" s="282"/>
    </row>
    <row r="297">
      <c r="AC297" s="282"/>
      <c r="AD297" s="282"/>
      <c r="AE297" s="282"/>
      <c r="AF297" s="282"/>
      <c r="AG297" s="282"/>
      <c r="AH297" s="282"/>
      <c r="AI297" s="282"/>
      <c r="AJ297" s="282"/>
      <c r="AK297" s="282"/>
      <c r="AL297" s="282"/>
      <c r="AM297" s="282"/>
    </row>
    <row r="298">
      <c r="AC298" s="282"/>
      <c r="AD298" s="282"/>
      <c r="AE298" s="282"/>
      <c r="AF298" s="282"/>
      <c r="AG298" s="282"/>
      <c r="AH298" s="282"/>
      <c r="AI298" s="282"/>
      <c r="AJ298" s="282"/>
      <c r="AK298" s="282"/>
      <c r="AL298" s="282"/>
      <c r="AM298" s="282"/>
    </row>
    <row r="299">
      <c r="AC299" s="282"/>
      <c r="AD299" s="282"/>
      <c r="AE299" s="282"/>
      <c r="AF299" s="282"/>
      <c r="AG299" s="282"/>
      <c r="AH299" s="282"/>
      <c r="AI299" s="282"/>
      <c r="AJ299" s="282"/>
      <c r="AK299" s="282"/>
      <c r="AL299" s="282"/>
      <c r="AM299" s="282"/>
    </row>
    <row r="300">
      <c r="AC300" s="282"/>
      <c r="AD300" s="282"/>
      <c r="AE300" s="282"/>
      <c r="AF300" s="282"/>
      <c r="AG300" s="282"/>
      <c r="AH300" s="282"/>
      <c r="AI300" s="282"/>
      <c r="AJ300" s="282"/>
      <c r="AK300" s="282"/>
      <c r="AL300" s="282"/>
      <c r="AM300" s="282"/>
    </row>
    <row r="301">
      <c r="AC301" s="282"/>
      <c r="AD301" s="282"/>
      <c r="AE301" s="282"/>
      <c r="AF301" s="282"/>
      <c r="AG301" s="282"/>
      <c r="AH301" s="282"/>
      <c r="AI301" s="282"/>
      <c r="AJ301" s="282"/>
      <c r="AK301" s="282"/>
      <c r="AL301" s="282"/>
      <c r="AM301" s="282"/>
    </row>
    <row r="302">
      <c r="AC302" s="282"/>
      <c r="AD302" s="282"/>
      <c r="AE302" s="282"/>
      <c r="AF302" s="282"/>
      <c r="AG302" s="282"/>
      <c r="AH302" s="282"/>
      <c r="AI302" s="282"/>
      <c r="AJ302" s="282"/>
      <c r="AK302" s="282"/>
      <c r="AL302" s="282"/>
      <c r="AM302" s="282"/>
    </row>
    <row r="303">
      <c r="AC303" s="282"/>
      <c r="AD303" s="282"/>
      <c r="AE303" s="282"/>
      <c r="AF303" s="282"/>
      <c r="AG303" s="282"/>
      <c r="AH303" s="282"/>
      <c r="AI303" s="282"/>
      <c r="AJ303" s="282"/>
      <c r="AK303" s="282"/>
      <c r="AL303" s="282"/>
      <c r="AM303" s="282"/>
    </row>
    <row r="304">
      <c r="AC304" s="282"/>
      <c r="AD304" s="282"/>
      <c r="AE304" s="282"/>
      <c r="AF304" s="282"/>
      <c r="AG304" s="282"/>
      <c r="AH304" s="282"/>
      <c r="AI304" s="282"/>
      <c r="AJ304" s="282"/>
      <c r="AK304" s="282"/>
      <c r="AL304" s="282"/>
      <c r="AM304" s="282"/>
    </row>
    <row r="305">
      <c r="AC305" s="282"/>
      <c r="AD305" s="282"/>
      <c r="AE305" s="282"/>
      <c r="AF305" s="282"/>
      <c r="AG305" s="282"/>
      <c r="AH305" s="282"/>
      <c r="AI305" s="282"/>
      <c r="AJ305" s="282"/>
      <c r="AK305" s="282"/>
      <c r="AL305" s="282"/>
      <c r="AM305" s="282"/>
    </row>
    <row r="306">
      <c r="AC306" s="282"/>
      <c r="AD306" s="282"/>
      <c r="AE306" s="282"/>
      <c r="AF306" s="282"/>
      <c r="AG306" s="282"/>
      <c r="AH306" s="282"/>
      <c r="AI306" s="282"/>
      <c r="AJ306" s="282"/>
      <c r="AK306" s="282"/>
      <c r="AL306" s="282"/>
      <c r="AM306" s="282"/>
    </row>
    <row r="307">
      <c r="AC307" s="282"/>
      <c r="AD307" s="282"/>
      <c r="AE307" s="282"/>
      <c r="AF307" s="282"/>
      <c r="AG307" s="282"/>
      <c r="AH307" s="282"/>
      <c r="AI307" s="282"/>
      <c r="AJ307" s="282"/>
      <c r="AK307" s="282"/>
      <c r="AL307" s="282"/>
      <c r="AM307" s="282"/>
    </row>
    <row r="308">
      <c r="AC308" s="282"/>
      <c r="AD308" s="282"/>
      <c r="AE308" s="282"/>
      <c r="AF308" s="282"/>
      <c r="AG308" s="282"/>
      <c r="AH308" s="282"/>
      <c r="AI308" s="282"/>
      <c r="AJ308" s="282"/>
      <c r="AK308" s="282"/>
      <c r="AL308" s="282"/>
      <c r="AM308" s="282"/>
    </row>
    <row r="309">
      <c r="AC309" s="282"/>
      <c r="AD309" s="282"/>
      <c r="AE309" s="282"/>
      <c r="AF309" s="282"/>
      <c r="AG309" s="282"/>
      <c r="AH309" s="282"/>
      <c r="AI309" s="282"/>
      <c r="AJ309" s="282"/>
      <c r="AK309" s="282"/>
      <c r="AL309" s="282"/>
      <c r="AM309" s="282"/>
    </row>
    <row r="310">
      <c r="AC310" s="282"/>
      <c r="AD310" s="282"/>
      <c r="AE310" s="282"/>
      <c r="AF310" s="282"/>
      <c r="AG310" s="282"/>
      <c r="AH310" s="282"/>
      <c r="AI310" s="282"/>
      <c r="AJ310" s="282"/>
      <c r="AK310" s="282"/>
      <c r="AL310" s="282"/>
      <c r="AM310" s="282"/>
    </row>
    <row r="311">
      <c r="AC311" s="282"/>
      <c r="AD311" s="282"/>
      <c r="AE311" s="282"/>
      <c r="AF311" s="282"/>
      <c r="AG311" s="282"/>
      <c r="AH311" s="282"/>
      <c r="AI311" s="282"/>
      <c r="AJ311" s="282"/>
      <c r="AK311" s="282"/>
      <c r="AL311" s="282"/>
      <c r="AM311" s="282"/>
    </row>
    <row r="312">
      <c r="AC312" s="282"/>
      <c r="AD312" s="282"/>
      <c r="AE312" s="282"/>
      <c r="AF312" s="282"/>
      <c r="AG312" s="282"/>
      <c r="AH312" s="282"/>
      <c r="AI312" s="282"/>
      <c r="AJ312" s="282"/>
      <c r="AK312" s="282"/>
      <c r="AL312" s="282"/>
      <c r="AM312" s="282"/>
    </row>
    <row r="313">
      <c r="AC313" s="282"/>
      <c r="AD313" s="282"/>
      <c r="AE313" s="282"/>
      <c r="AF313" s="282"/>
      <c r="AG313" s="282"/>
      <c r="AH313" s="282"/>
      <c r="AI313" s="282"/>
      <c r="AJ313" s="282"/>
      <c r="AK313" s="282"/>
      <c r="AL313" s="282"/>
      <c r="AM313" s="282"/>
    </row>
    <row r="314">
      <c r="AC314" s="282"/>
      <c r="AD314" s="282"/>
      <c r="AE314" s="282"/>
      <c r="AF314" s="282"/>
      <c r="AG314" s="282"/>
      <c r="AH314" s="282"/>
      <c r="AI314" s="282"/>
      <c r="AJ314" s="282"/>
      <c r="AK314" s="282"/>
      <c r="AL314" s="282"/>
      <c r="AM314" s="282"/>
    </row>
    <row r="315">
      <c r="AC315" s="282"/>
      <c r="AD315" s="282"/>
      <c r="AE315" s="282"/>
      <c r="AF315" s="282"/>
      <c r="AG315" s="282"/>
      <c r="AH315" s="282"/>
      <c r="AI315" s="282"/>
      <c r="AJ315" s="282"/>
      <c r="AK315" s="282"/>
      <c r="AL315" s="282"/>
      <c r="AM315" s="282"/>
    </row>
    <row r="316">
      <c r="AC316" s="282"/>
      <c r="AD316" s="282"/>
      <c r="AE316" s="282"/>
      <c r="AF316" s="282"/>
      <c r="AG316" s="282"/>
      <c r="AH316" s="282"/>
      <c r="AI316" s="282"/>
      <c r="AJ316" s="282"/>
      <c r="AK316" s="282"/>
      <c r="AL316" s="282"/>
      <c r="AM316" s="282"/>
    </row>
    <row r="317">
      <c r="AC317" s="282"/>
      <c r="AD317" s="282"/>
      <c r="AE317" s="282"/>
      <c r="AF317" s="282"/>
      <c r="AG317" s="282"/>
      <c r="AH317" s="282"/>
      <c r="AI317" s="282"/>
      <c r="AJ317" s="282"/>
      <c r="AK317" s="282"/>
      <c r="AL317" s="282"/>
      <c r="AM317" s="282"/>
    </row>
    <row r="318">
      <c r="AC318" s="282"/>
      <c r="AD318" s="282"/>
      <c r="AE318" s="282"/>
      <c r="AF318" s="282"/>
      <c r="AG318" s="282"/>
      <c r="AH318" s="282"/>
      <c r="AI318" s="282"/>
      <c r="AJ318" s="282"/>
      <c r="AK318" s="282"/>
      <c r="AL318" s="282"/>
      <c r="AM318" s="282"/>
    </row>
    <row r="319">
      <c r="AC319" s="282"/>
      <c r="AD319" s="282"/>
      <c r="AE319" s="282"/>
      <c r="AF319" s="282"/>
      <c r="AG319" s="282"/>
      <c r="AH319" s="282"/>
      <c r="AI319" s="282"/>
      <c r="AJ319" s="282"/>
      <c r="AK319" s="282"/>
      <c r="AL319" s="282"/>
      <c r="AM319" s="282"/>
    </row>
    <row r="320">
      <c r="AC320" s="282"/>
      <c r="AD320" s="282"/>
      <c r="AE320" s="282"/>
      <c r="AF320" s="282"/>
      <c r="AG320" s="282"/>
      <c r="AH320" s="282"/>
      <c r="AI320" s="282"/>
      <c r="AJ320" s="282"/>
      <c r="AK320" s="282"/>
      <c r="AL320" s="282"/>
      <c r="AM320" s="282"/>
    </row>
    <row r="321">
      <c r="AC321" s="282"/>
      <c r="AD321" s="282"/>
      <c r="AE321" s="282"/>
      <c r="AF321" s="282"/>
      <c r="AG321" s="282"/>
      <c r="AH321" s="282"/>
      <c r="AI321" s="282"/>
      <c r="AJ321" s="282"/>
      <c r="AK321" s="282"/>
      <c r="AL321" s="282"/>
      <c r="AM321" s="282"/>
    </row>
    <row r="322">
      <c r="AC322" s="282"/>
      <c r="AD322" s="282"/>
      <c r="AE322" s="282"/>
      <c r="AF322" s="282"/>
      <c r="AG322" s="282"/>
      <c r="AH322" s="282"/>
      <c r="AI322" s="282"/>
      <c r="AJ322" s="282"/>
      <c r="AK322" s="282"/>
      <c r="AL322" s="282"/>
      <c r="AM322" s="282"/>
    </row>
    <row r="323">
      <c r="AC323" s="282"/>
      <c r="AD323" s="282"/>
      <c r="AE323" s="282"/>
      <c r="AF323" s="282"/>
      <c r="AG323" s="282"/>
      <c r="AH323" s="282"/>
      <c r="AI323" s="282"/>
      <c r="AJ323" s="282"/>
      <c r="AK323" s="282"/>
      <c r="AL323" s="282"/>
      <c r="AM323" s="282"/>
    </row>
    <row r="324">
      <c r="AC324" s="282"/>
      <c r="AD324" s="282"/>
      <c r="AE324" s="282"/>
      <c r="AF324" s="282"/>
      <c r="AG324" s="282"/>
      <c r="AH324" s="282"/>
      <c r="AI324" s="282"/>
      <c r="AJ324" s="282"/>
      <c r="AK324" s="282"/>
      <c r="AL324" s="282"/>
      <c r="AM324" s="282"/>
    </row>
    <row r="325">
      <c r="AC325" s="282"/>
      <c r="AD325" s="282"/>
      <c r="AE325" s="282"/>
      <c r="AF325" s="282"/>
      <c r="AG325" s="282"/>
      <c r="AH325" s="282"/>
      <c r="AI325" s="282"/>
      <c r="AJ325" s="282"/>
      <c r="AK325" s="282"/>
      <c r="AL325" s="282"/>
      <c r="AM325" s="282"/>
    </row>
    <row r="326">
      <c r="AC326" s="282"/>
      <c r="AD326" s="282"/>
      <c r="AE326" s="282"/>
      <c r="AF326" s="282"/>
      <c r="AG326" s="282"/>
      <c r="AH326" s="282"/>
      <c r="AI326" s="282"/>
      <c r="AJ326" s="282"/>
      <c r="AK326" s="282"/>
      <c r="AL326" s="282"/>
      <c r="AM326" s="282"/>
    </row>
    <row r="327">
      <c r="AC327" s="282"/>
      <c r="AD327" s="282"/>
      <c r="AE327" s="282"/>
      <c r="AF327" s="282"/>
      <c r="AG327" s="282"/>
      <c r="AH327" s="282"/>
      <c r="AI327" s="282"/>
      <c r="AJ327" s="282"/>
      <c r="AK327" s="282"/>
      <c r="AL327" s="282"/>
      <c r="AM327" s="282"/>
    </row>
    <row r="328">
      <c r="AC328" s="282"/>
      <c r="AD328" s="282"/>
      <c r="AE328" s="282"/>
      <c r="AF328" s="282"/>
      <c r="AG328" s="282"/>
      <c r="AH328" s="282"/>
      <c r="AI328" s="282"/>
      <c r="AJ328" s="282"/>
      <c r="AK328" s="282"/>
      <c r="AL328" s="282"/>
      <c r="AM328" s="282"/>
    </row>
    <row r="329">
      <c r="AC329" s="282"/>
      <c r="AD329" s="282"/>
      <c r="AE329" s="282"/>
      <c r="AF329" s="282"/>
      <c r="AG329" s="282"/>
      <c r="AH329" s="282"/>
      <c r="AI329" s="282"/>
      <c r="AJ329" s="282"/>
      <c r="AK329" s="282"/>
      <c r="AL329" s="282"/>
      <c r="AM329" s="282"/>
    </row>
    <row r="330">
      <c r="AC330" s="282"/>
      <c r="AD330" s="282"/>
      <c r="AE330" s="282"/>
      <c r="AF330" s="282"/>
      <c r="AG330" s="282"/>
      <c r="AH330" s="282"/>
      <c r="AI330" s="282"/>
      <c r="AJ330" s="282"/>
      <c r="AK330" s="282"/>
      <c r="AL330" s="282"/>
      <c r="AM330" s="282"/>
    </row>
    <row r="331">
      <c r="AC331" s="282"/>
      <c r="AD331" s="282"/>
      <c r="AE331" s="282"/>
      <c r="AF331" s="282"/>
      <c r="AG331" s="282"/>
      <c r="AH331" s="282"/>
      <c r="AI331" s="282"/>
      <c r="AJ331" s="282"/>
      <c r="AK331" s="282"/>
      <c r="AL331" s="282"/>
      <c r="AM331" s="282"/>
    </row>
    <row r="332">
      <c r="AC332" s="282"/>
      <c r="AD332" s="282"/>
      <c r="AE332" s="282"/>
      <c r="AF332" s="282"/>
      <c r="AG332" s="282"/>
      <c r="AH332" s="282"/>
      <c r="AI332" s="282"/>
      <c r="AJ332" s="282"/>
      <c r="AK332" s="282"/>
      <c r="AL332" s="282"/>
      <c r="AM332" s="282"/>
    </row>
    <row r="333">
      <c r="AC333" s="282"/>
      <c r="AD333" s="282"/>
      <c r="AE333" s="282"/>
      <c r="AF333" s="282"/>
      <c r="AG333" s="282"/>
      <c r="AH333" s="282"/>
      <c r="AI333" s="282"/>
      <c r="AJ333" s="282"/>
      <c r="AK333" s="282"/>
      <c r="AL333" s="282"/>
      <c r="AM333" s="282"/>
    </row>
    <row r="334">
      <c r="AC334" s="282"/>
      <c r="AD334" s="282"/>
      <c r="AE334" s="282"/>
      <c r="AF334" s="282"/>
      <c r="AG334" s="282"/>
      <c r="AH334" s="282"/>
      <c r="AI334" s="282"/>
      <c r="AJ334" s="282"/>
      <c r="AK334" s="282"/>
      <c r="AL334" s="282"/>
      <c r="AM334" s="282"/>
    </row>
    <row r="335">
      <c r="AC335" s="282"/>
      <c r="AD335" s="282"/>
      <c r="AE335" s="282"/>
      <c r="AF335" s="282"/>
      <c r="AG335" s="282"/>
      <c r="AH335" s="282"/>
      <c r="AI335" s="282"/>
      <c r="AJ335" s="282"/>
      <c r="AK335" s="282"/>
      <c r="AL335" s="282"/>
      <c r="AM335" s="282"/>
    </row>
    <row r="336">
      <c r="AC336" s="282"/>
      <c r="AD336" s="282"/>
      <c r="AE336" s="282"/>
      <c r="AF336" s="282"/>
      <c r="AG336" s="282"/>
      <c r="AH336" s="282"/>
      <c r="AI336" s="282"/>
      <c r="AJ336" s="282"/>
      <c r="AK336" s="282"/>
      <c r="AL336" s="282"/>
      <c r="AM336" s="282"/>
    </row>
    <row r="337">
      <c r="AC337" s="282"/>
      <c r="AD337" s="282"/>
      <c r="AE337" s="282"/>
      <c r="AF337" s="282"/>
      <c r="AG337" s="282"/>
      <c r="AH337" s="282"/>
      <c r="AI337" s="282"/>
      <c r="AJ337" s="282"/>
      <c r="AK337" s="282"/>
      <c r="AL337" s="282"/>
      <c r="AM337" s="282"/>
    </row>
    <row r="338">
      <c r="AC338" s="282"/>
      <c r="AD338" s="282"/>
      <c r="AE338" s="282"/>
      <c r="AF338" s="282"/>
      <c r="AG338" s="282"/>
      <c r="AH338" s="282"/>
      <c r="AI338" s="282"/>
      <c r="AJ338" s="282"/>
      <c r="AK338" s="282"/>
      <c r="AL338" s="282"/>
      <c r="AM338" s="282"/>
    </row>
    <row r="339">
      <c r="AC339" s="282"/>
      <c r="AD339" s="282"/>
      <c r="AE339" s="282"/>
      <c r="AF339" s="282"/>
      <c r="AG339" s="282"/>
      <c r="AH339" s="282"/>
      <c r="AI339" s="282"/>
      <c r="AJ339" s="282"/>
      <c r="AK339" s="282"/>
      <c r="AL339" s="282"/>
      <c r="AM339" s="282"/>
    </row>
    <row r="340">
      <c r="AC340" s="282"/>
      <c r="AD340" s="282"/>
      <c r="AE340" s="282"/>
      <c r="AF340" s="282"/>
      <c r="AG340" s="282"/>
      <c r="AH340" s="282"/>
      <c r="AI340" s="282"/>
      <c r="AJ340" s="282"/>
      <c r="AK340" s="282"/>
      <c r="AL340" s="282"/>
      <c r="AM340" s="282"/>
    </row>
    <row r="341">
      <c r="AC341" s="282"/>
      <c r="AD341" s="282"/>
      <c r="AE341" s="282"/>
      <c r="AF341" s="282"/>
      <c r="AG341" s="282"/>
      <c r="AH341" s="282"/>
      <c r="AI341" s="282"/>
      <c r="AJ341" s="282"/>
      <c r="AK341" s="282"/>
      <c r="AL341" s="282"/>
      <c r="AM341" s="282"/>
    </row>
    <row r="342">
      <c r="AC342" s="282"/>
      <c r="AD342" s="282"/>
      <c r="AE342" s="282"/>
      <c r="AF342" s="282"/>
      <c r="AG342" s="282"/>
      <c r="AH342" s="282"/>
      <c r="AI342" s="282"/>
      <c r="AJ342" s="282"/>
      <c r="AK342" s="282"/>
      <c r="AL342" s="282"/>
      <c r="AM342" s="282"/>
    </row>
    <row r="343">
      <c r="AC343" s="282"/>
      <c r="AD343" s="282"/>
      <c r="AE343" s="282"/>
      <c r="AF343" s="282"/>
      <c r="AG343" s="282"/>
      <c r="AH343" s="282"/>
      <c r="AI343" s="282"/>
      <c r="AJ343" s="282"/>
      <c r="AK343" s="282"/>
      <c r="AL343" s="282"/>
      <c r="AM343" s="282"/>
    </row>
    <row r="344">
      <c r="AC344" s="282"/>
      <c r="AD344" s="282"/>
      <c r="AE344" s="282"/>
      <c r="AF344" s="282"/>
      <c r="AG344" s="282"/>
      <c r="AH344" s="282"/>
      <c r="AI344" s="282"/>
      <c r="AJ344" s="282"/>
      <c r="AK344" s="282"/>
      <c r="AL344" s="282"/>
      <c r="AM344" s="282"/>
    </row>
    <row r="345">
      <c r="AC345" s="282"/>
      <c r="AD345" s="282"/>
      <c r="AE345" s="282"/>
      <c r="AF345" s="282"/>
      <c r="AG345" s="282"/>
      <c r="AH345" s="282"/>
      <c r="AI345" s="282"/>
      <c r="AJ345" s="282"/>
      <c r="AK345" s="282"/>
      <c r="AL345" s="282"/>
      <c r="AM345" s="282"/>
    </row>
    <row r="346">
      <c r="AC346" s="282"/>
      <c r="AD346" s="282"/>
      <c r="AE346" s="282"/>
      <c r="AF346" s="282"/>
      <c r="AG346" s="282"/>
      <c r="AH346" s="282"/>
      <c r="AI346" s="282"/>
      <c r="AJ346" s="282"/>
      <c r="AK346" s="282"/>
      <c r="AL346" s="282"/>
      <c r="AM346" s="282"/>
    </row>
    <row r="347">
      <c r="AC347" s="282"/>
      <c r="AD347" s="282"/>
      <c r="AE347" s="282"/>
      <c r="AF347" s="282"/>
      <c r="AG347" s="282"/>
      <c r="AH347" s="282"/>
      <c r="AI347" s="282"/>
      <c r="AJ347" s="282"/>
      <c r="AK347" s="282"/>
      <c r="AL347" s="282"/>
      <c r="AM347" s="282"/>
    </row>
    <row r="348">
      <c r="AC348" s="282"/>
      <c r="AD348" s="282"/>
      <c r="AE348" s="282"/>
      <c r="AF348" s="282"/>
      <c r="AG348" s="282"/>
      <c r="AH348" s="282"/>
      <c r="AI348" s="282"/>
      <c r="AJ348" s="282"/>
      <c r="AK348" s="282"/>
      <c r="AL348" s="282"/>
      <c r="AM348" s="282"/>
    </row>
    <row r="349">
      <c r="AC349" s="282"/>
      <c r="AD349" s="282"/>
      <c r="AE349" s="282"/>
      <c r="AF349" s="282"/>
      <c r="AG349" s="282"/>
      <c r="AH349" s="282"/>
      <c r="AI349" s="282"/>
      <c r="AJ349" s="282"/>
      <c r="AK349" s="282"/>
      <c r="AL349" s="282"/>
      <c r="AM349" s="282"/>
    </row>
    <row r="350">
      <c r="AC350" s="282"/>
      <c r="AD350" s="282"/>
      <c r="AE350" s="282"/>
      <c r="AF350" s="282"/>
      <c r="AG350" s="282"/>
      <c r="AH350" s="282"/>
      <c r="AI350" s="282"/>
      <c r="AJ350" s="282"/>
      <c r="AK350" s="282"/>
      <c r="AL350" s="282"/>
      <c r="AM350" s="282"/>
    </row>
    <row r="351">
      <c r="AC351" s="282"/>
      <c r="AD351" s="282"/>
      <c r="AE351" s="282"/>
      <c r="AF351" s="282"/>
      <c r="AG351" s="282"/>
      <c r="AH351" s="282"/>
      <c r="AI351" s="282"/>
      <c r="AJ351" s="282"/>
      <c r="AK351" s="282"/>
      <c r="AL351" s="282"/>
      <c r="AM351" s="282"/>
    </row>
    <row r="352">
      <c r="AC352" s="282"/>
      <c r="AD352" s="282"/>
      <c r="AE352" s="282"/>
      <c r="AF352" s="282"/>
      <c r="AG352" s="282"/>
      <c r="AH352" s="282"/>
      <c r="AI352" s="282"/>
      <c r="AJ352" s="282"/>
      <c r="AK352" s="282"/>
      <c r="AL352" s="282"/>
      <c r="AM352" s="282"/>
    </row>
    <row r="353">
      <c r="AC353" s="282"/>
      <c r="AD353" s="282"/>
      <c r="AE353" s="282"/>
      <c r="AF353" s="282"/>
      <c r="AG353" s="282"/>
      <c r="AH353" s="282"/>
      <c r="AI353" s="282"/>
      <c r="AJ353" s="282"/>
      <c r="AK353" s="282"/>
      <c r="AL353" s="282"/>
      <c r="AM353" s="282"/>
    </row>
    <row r="354">
      <c r="AC354" s="282"/>
      <c r="AD354" s="282"/>
      <c r="AE354" s="282"/>
      <c r="AF354" s="282"/>
      <c r="AG354" s="282"/>
      <c r="AH354" s="282"/>
      <c r="AI354" s="282"/>
      <c r="AJ354" s="282"/>
      <c r="AK354" s="282"/>
      <c r="AL354" s="282"/>
      <c r="AM354" s="282"/>
    </row>
    <row r="355">
      <c r="AC355" s="282"/>
      <c r="AD355" s="282"/>
      <c r="AE355" s="282"/>
      <c r="AF355" s="282"/>
      <c r="AG355" s="282"/>
      <c r="AH355" s="282"/>
      <c r="AI355" s="282"/>
      <c r="AJ355" s="282"/>
      <c r="AK355" s="282"/>
      <c r="AL355" s="282"/>
      <c r="AM355" s="282"/>
    </row>
    <row r="356">
      <c r="AC356" s="282"/>
      <c r="AD356" s="282"/>
      <c r="AE356" s="282"/>
      <c r="AF356" s="282"/>
      <c r="AG356" s="282"/>
      <c r="AH356" s="282"/>
      <c r="AI356" s="282"/>
      <c r="AJ356" s="282"/>
      <c r="AK356" s="282"/>
      <c r="AL356" s="282"/>
      <c r="AM356" s="282"/>
    </row>
    <row r="357">
      <c r="AC357" s="282"/>
      <c r="AD357" s="282"/>
      <c r="AE357" s="282"/>
      <c r="AF357" s="282"/>
      <c r="AG357" s="282"/>
      <c r="AH357" s="282"/>
      <c r="AI357" s="282"/>
      <c r="AJ357" s="282"/>
      <c r="AK357" s="282"/>
      <c r="AL357" s="282"/>
      <c r="AM357" s="282"/>
    </row>
    <row r="358">
      <c r="AC358" s="282"/>
      <c r="AD358" s="282"/>
      <c r="AE358" s="282"/>
      <c r="AF358" s="282"/>
      <c r="AG358" s="282"/>
      <c r="AH358" s="282"/>
      <c r="AI358" s="282"/>
      <c r="AJ358" s="282"/>
      <c r="AK358" s="282"/>
      <c r="AL358" s="282"/>
      <c r="AM358" s="282"/>
    </row>
    <row r="359">
      <c r="AC359" s="282"/>
      <c r="AD359" s="282"/>
      <c r="AE359" s="282"/>
      <c r="AF359" s="282"/>
      <c r="AG359" s="282"/>
      <c r="AH359" s="282"/>
      <c r="AI359" s="282"/>
      <c r="AJ359" s="282"/>
      <c r="AK359" s="282"/>
      <c r="AL359" s="282"/>
      <c r="AM359" s="282"/>
    </row>
    <row r="360">
      <c r="AC360" s="282"/>
      <c r="AD360" s="282"/>
      <c r="AE360" s="282"/>
      <c r="AF360" s="282"/>
      <c r="AG360" s="282"/>
      <c r="AH360" s="282"/>
      <c r="AI360" s="282"/>
      <c r="AJ360" s="282"/>
      <c r="AK360" s="282"/>
      <c r="AL360" s="282"/>
      <c r="AM360" s="282"/>
    </row>
    <row r="361">
      <c r="AC361" s="282"/>
      <c r="AD361" s="282"/>
      <c r="AE361" s="282"/>
      <c r="AF361" s="282"/>
      <c r="AG361" s="282"/>
      <c r="AH361" s="282"/>
      <c r="AI361" s="282"/>
      <c r="AJ361" s="282"/>
      <c r="AK361" s="282"/>
      <c r="AL361" s="282"/>
      <c r="AM361" s="282"/>
    </row>
    <row r="362">
      <c r="AC362" s="282"/>
      <c r="AD362" s="282"/>
      <c r="AE362" s="282"/>
      <c r="AF362" s="282"/>
      <c r="AG362" s="282"/>
      <c r="AH362" s="282"/>
      <c r="AI362" s="282"/>
      <c r="AJ362" s="282"/>
      <c r="AK362" s="282"/>
      <c r="AL362" s="282"/>
      <c r="AM362" s="282"/>
    </row>
    <row r="363">
      <c r="AC363" s="282"/>
      <c r="AD363" s="282"/>
      <c r="AE363" s="282"/>
      <c r="AF363" s="282"/>
      <c r="AG363" s="282"/>
      <c r="AH363" s="282"/>
      <c r="AI363" s="282"/>
      <c r="AJ363" s="282"/>
      <c r="AK363" s="282"/>
      <c r="AL363" s="282"/>
      <c r="AM363" s="282"/>
    </row>
    <row r="364">
      <c r="AC364" s="282"/>
      <c r="AD364" s="282"/>
      <c r="AE364" s="282"/>
      <c r="AF364" s="282"/>
      <c r="AG364" s="282"/>
      <c r="AH364" s="282"/>
      <c r="AI364" s="282"/>
      <c r="AJ364" s="282"/>
      <c r="AK364" s="282"/>
      <c r="AL364" s="282"/>
      <c r="AM364" s="282"/>
    </row>
    <row r="365">
      <c r="AC365" s="282"/>
      <c r="AD365" s="282"/>
      <c r="AE365" s="282"/>
      <c r="AF365" s="282"/>
      <c r="AG365" s="282"/>
      <c r="AH365" s="282"/>
      <c r="AI365" s="282"/>
      <c r="AJ365" s="282"/>
      <c r="AK365" s="282"/>
      <c r="AL365" s="282"/>
      <c r="AM365" s="282"/>
    </row>
    <row r="366">
      <c r="AC366" s="282"/>
      <c r="AD366" s="282"/>
      <c r="AE366" s="282"/>
      <c r="AF366" s="282"/>
      <c r="AG366" s="282"/>
      <c r="AH366" s="282"/>
      <c r="AI366" s="282"/>
      <c r="AJ366" s="282"/>
      <c r="AK366" s="282"/>
      <c r="AL366" s="282"/>
      <c r="AM366" s="282"/>
    </row>
    <row r="367">
      <c r="AC367" s="282"/>
      <c r="AD367" s="282"/>
      <c r="AE367" s="282"/>
      <c r="AF367" s="282"/>
      <c r="AG367" s="282"/>
      <c r="AH367" s="282"/>
      <c r="AI367" s="282"/>
      <c r="AJ367" s="282"/>
      <c r="AK367" s="282"/>
      <c r="AL367" s="282"/>
      <c r="AM367" s="282"/>
    </row>
    <row r="368">
      <c r="AC368" s="282"/>
      <c r="AD368" s="282"/>
      <c r="AE368" s="282"/>
      <c r="AF368" s="282"/>
      <c r="AG368" s="282"/>
      <c r="AH368" s="282"/>
      <c r="AI368" s="282"/>
      <c r="AJ368" s="282"/>
      <c r="AK368" s="282"/>
      <c r="AL368" s="282"/>
      <c r="AM368" s="282"/>
    </row>
    <row r="369">
      <c r="AC369" s="282"/>
      <c r="AD369" s="282"/>
      <c r="AE369" s="282"/>
      <c r="AF369" s="282"/>
      <c r="AG369" s="282"/>
      <c r="AH369" s="282"/>
      <c r="AI369" s="282"/>
      <c r="AJ369" s="282"/>
      <c r="AK369" s="282"/>
      <c r="AL369" s="282"/>
      <c r="AM369" s="282"/>
    </row>
    <row r="370">
      <c r="AC370" s="282"/>
      <c r="AD370" s="282"/>
      <c r="AE370" s="282"/>
      <c r="AF370" s="282"/>
      <c r="AG370" s="282"/>
      <c r="AH370" s="282"/>
      <c r="AI370" s="282"/>
      <c r="AJ370" s="282"/>
      <c r="AK370" s="282"/>
      <c r="AL370" s="282"/>
      <c r="AM370" s="282"/>
    </row>
    <row r="371">
      <c r="AC371" s="282"/>
      <c r="AD371" s="282"/>
      <c r="AE371" s="282"/>
      <c r="AF371" s="282"/>
      <c r="AG371" s="282"/>
      <c r="AH371" s="282"/>
      <c r="AI371" s="282"/>
      <c r="AJ371" s="282"/>
      <c r="AK371" s="282"/>
      <c r="AL371" s="282"/>
      <c r="AM371" s="282"/>
    </row>
    <row r="372">
      <c r="AC372" s="282"/>
      <c r="AD372" s="282"/>
      <c r="AE372" s="282"/>
      <c r="AF372" s="282"/>
      <c r="AG372" s="282"/>
      <c r="AH372" s="282"/>
      <c r="AI372" s="282"/>
      <c r="AJ372" s="282"/>
      <c r="AK372" s="282"/>
      <c r="AL372" s="282"/>
      <c r="AM372" s="282"/>
    </row>
    <row r="373">
      <c r="AC373" s="282"/>
      <c r="AD373" s="282"/>
      <c r="AE373" s="282"/>
      <c r="AF373" s="282"/>
      <c r="AG373" s="282"/>
      <c r="AH373" s="282"/>
      <c r="AI373" s="282"/>
      <c r="AJ373" s="282"/>
      <c r="AK373" s="282"/>
      <c r="AL373" s="282"/>
      <c r="AM373" s="282"/>
    </row>
    <row r="374">
      <c r="AC374" s="282"/>
      <c r="AD374" s="282"/>
      <c r="AE374" s="282"/>
      <c r="AF374" s="282"/>
      <c r="AG374" s="282"/>
      <c r="AH374" s="282"/>
      <c r="AI374" s="282"/>
      <c r="AJ374" s="282"/>
      <c r="AK374" s="282"/>
      <c r="AL374" s="282"/>
      <c r="AM374" s="282"/>
    </row>
    <row r="375">
      <c r="AC375" s="282"/>
      <c r="AD375" s="282"/>
      <c r="AE375" s="282"/>
      <c r="AF375" s="282"/>
      <c r="AG375" s="282"/>
      <c r="AH375" s="282"/>
      <c r="AI375" s="282"/>
      <c r="AJ375" s="282"/>
      <c r="AK375" s="282"/>
      <c r="AL375" s="282"/>
      <c r="AM375" s="282"/>
    </row>
    <row r="376">
      <c r="AC376" s="282"/>
      <c r="AD376" s="282"/>
      <c r="AE376" s="282"/>
      <c r="AF376" s="282"/>
      <c r="AG376" s="282"/>
      <c r="AH376" s="282"/>
      <c r="AI376" s="282"/>
      <c r="AJ376" s="282"/>
      <c r="AK376" s="282"/>
      <c r="AL376" s="282"/>
      <c r="AM376" s="282"/>
    </row>
    <row r="377">
      <c r="AC377" s="282"/>
      <c r="AD377" s="282"/>
      <c r="AE377" s="282"/>
      <c r="AF377" s="282"/>
      <c r="AG377" s="282"/>
      <c r="AH377" s="282"/>
      <c r="AI377" s="282"/>
      <c r="AJ377" s="282"/>
      <c r="AK377" s="282"/>
      <c r="AL377" s="282"/>
      <c r="AM377" s="282"/>
    </row>
    <row r="378">
      <c r="AC378" s="282"/>
      <c r="AD378" s="282"/>
      <c r="AE378" s="282"/>
      <c r="AF378" s="282"/>
      <c r="AG378" s="282"/>
      <c r="AH378" s="282"/>
      <c r="AI378" s="282"/>
      <c r="AJ378" s="282"/>
      <c r="AK378" s="282"/>
      <c r="AL378" s="282"/>
      <c r="AM378" s="282"/>
    </row>
    <row r="379">
      <c r="AC379" s="282"/>
      <c r="AD379" s="282"/>
      <c r="AE379" s="282"/>
      <c r="AF379" s="282"/>
      <c r="AG379" s="282"/>
      <c r="AH379" s="282"/>
      <c r="AI379" s="282"/>
      <c r="AJ379" s="282"/>
      <c r="AK379" s="282"/>
      <c r="AL379" s="282"/>
      <c r="AM379" s="282"/>
    </row>
    <row r="380">
      <c r="AC380" s="282"/>
      <c r="AD380" s="282"/>
      <c r="AE380" s="282"/>
      <c r="AF380" s="282"/>
      <c r="AG380" s="282"/>
      <c r="AH380" s="282"/>
      <c r="AI380" s="282"/>
      <c r="AJ380" s="282"/>
      <c r="AK380" s="282"/>
      <c r="AL380" s="282"/>
      <c r="AM380" s="282"/>
    </row>
    <row r="381">
      <c r="AC381" s="282"/>
      <c r="AD381" s="282"/>
      <c r="AE381" s="282"/>
      <c r="AF381" s="282"/>
      <c r="AG381" s="282"/>
      <c r="AH381" s="282"/>
      <c r="AI381" s="282"/>
      <c r="AJ381" s="282"/>
      <c r="AK381" s="282"/>
      <c r="AL381" s="282"/>
      <c r="AM381" s="282"/>
    </row>
    <row r="382">
      <c r="AC382" s="282"/>
      <c r="AD382" s="282"/>
      <c r="AE382" s="282"/>
      <c r="AF382" s="282"/>
      <c r="AG382" s="282"/>
      <c r="AH382" s="282"/>
      <c r="AI382" s="282"/>
      <c r="AJ382" s="282"/>
      <c r="AK382" s="282"/>
      <c r="AL382" s="282"/>
      <c r="AM382" s="282"/>
    </row>
    <row r="383">
      <c r="AC383" s="282"/>
      <c r="AD383" s="282"/>
      <c r="AE383" s="282"/>
      <c r="AF383" s="282"/>
      <c r="AG383" s="282"/>
      <c r="AH383" s="282"/>
      <c r="AI383" s="282"/>
      <c r="AJ383" s="282"/>
      <c r="AK383" s="282"/>
      <c r="AL383" s="282"/>
      <c r="AM383" s="282"/>
    </row>
    <row r="384">
      <c r="AC384" s="282"/>
      <c r="AD384" s="282"/>
      <c r="AE384" s="282"/>
      <c r="AF384" s="282"/>
      <c r="AG384" s="282"/>
      <c r="AH384" s="282"/>
      <c r="AI384" s="282"/>
      <c r="AJ384" s="282"/>
      <c r="AK384" s="282"/>
      <c r="AL384" s="282"/>
      <c r="AM384" s="282"/>
    </row>
    <row r="385">
      <c r="AC385" s="282"/>
      <c r="AD385" s="282"/>
      <c r="AE385" s="282"/>
      <c r="AF385" s="282"/>
      <c r="AG385" s="282"/>
      <c r="AH385" s="282"/>
      <c r="AI385" s="282"/>
      <c r="AJ385" s="282"/>
      <c r="AK385" s="282"/>
      <c r="AL385" s="282"/>
      <c r="AM385" s="282"/>
    </row>
    <row r="386">
      <c r="AC386" s="282"/>
      <c r="AD386" s="282"/>
      <c r="AE386" s="282"/>
      <c r="AF386" s="282"/>
      <c r="AG386" s="282"/>
      <c r="AH386" s="282"/>
      <c r="AI386" s="282"/>
      <c r="AJ386" s="282"/>
      <c r="AK386" s="282"/>
      <c r="AL386" s="282"/>
      <c r="AM386" s="282"/>
    </row>
    <row r="387">
      <c r="AC387" s="282"/>
      <c r="AD387" s="282"/>
      <c r="AE387" s="282"/>
      <c r="AF387" s="282"/>
      <c r="AG387" s="282"/>
      <c r="AH387" s="282"/>
      <c r="AI387" s="282"/>
      <c r="AJ387" s="282"/>
      <c r="AK387" s="282"/>
      <c r="AL387" s="282"/>
      <c r="AM387" s="282"/>
    </row>
    <row r="388">
      <c r="AC388" s="282"/>
      <c r="AD388" s="282"/>
      <c r="AE388" s="282"/>
      <c r="AF388" s="282"/>
      <c r="AG388" s="282"/>
      <c r="AH388" s="282"/>
      <c r="AI388" s="282"/>
      <c r="AJ388" s="282"/>
      <c r="AK388" s="282"/>
      <c r="AL388" s="282"/>
      <c r="AM388" s="282"/>
    </row>
    <row r="389">
      <c r="AC389" s="282"/>
      <c r="AD389" s="282"/>
      <c r="AE389" s="282"/>
      <c r="AF389" s="282"/>
      <c r="AG389" s="282"/>
      <c r="AH389" s="282"/>
      <c r="AI389" s="282"/>
      <c r="AJ389" s="282"/>
      <c r="AK389" s="282"/>
      <c r="AL389" s="282"/>
      <c r="AM389" s="282"/>
    </row>
    <row r="390">
      <c r="AC390" s="282"/>
      <c r="AD390" s="282"/>
      <c r="AE390" s="282"/>
      <c r="AF390" s="282"/>
      <c r="AG390" s="282"/>
      <c r="AH390" s="282"/>
      <c r="AI390" s="282"/>
      <c r="AJ390" s="282"/>
      <c r="AK390" s="282"/>
      <c r="AL390" s="282"/>
      <c r="AM390" s="282"/>
    </row>
    <row r="391">
      <c r="AC391" s="282"/>
      <c r="AD391" s="282"/>
      <c r="AE391" s="282"/>
      <c r="AF391" s="282"/>
      <c r="AG391" s="282"/>
      <c r="AH391" s="282"/>
      <c r="AI391" s="282"/>
      <c r="AJ391" s="282"/>
      <c r="AK391" s="282"/>
      <c r="AL391" s="282"/>
      <c r="AM391" s="282"/>
    </row>
    <row r="392">
      <c r="AC392" s="282"/>
      <c r="AD392" s="282"/>
      <c r="AE392" s="282"/>
      <c r="AF392" s="282"/>
      <c r="AG392" s="282"/>
      <c r="AH392" s="282"/>
      <c r="AI392" s="282"/>
      <c r="AJ392" s="282"/>
      <c r="AK392" s="282"/>
      <c r="AL392" s="282"/>
      <c r="AM392" s="282"/>
    </row>
    <row r="393">
      <c r="AC393" s="282"/>
      <c r="AD393" s="282"/>
      <c r="AE393" s="282"/>
      <c r="AF393" s="282"/>
      <c r="AG393" s="282"/>
      <c r="AH393" s="282"/>
      <c r="AI393" s="282"/>
      <c r="AJ393" s="282"/>
      <c r="AK393" s="282"/>
      <c r="AL393" s="282"/>
      <c r="AM393" s="282"/>
    </row>
    <row r="394">
      <c r="AC394" s="282"/>
      <c r="AD394" s="282"/>
      <c r="AE394" s="282"/>
      <c r="AF394" s="282"/>
      <c r="AG394" s="282"/>
      <c r="AH394" s="282"/>
      <c r="AI394" s="282"/>
      <c r="AJ394" s="282"/>
      <c r="AK394" s="282"/>
      <c r="AL394" s="282"/>
      <c r="AM394" s="282"/>
    </row>
    <row r="395">
      <c r="AC395" s="282"/>
      <c r="AD395" s="282"/>
      <c r="AE395" s="282"/>
      <c r="AF395" s="282"/>
      <c r="AG395" s="282"/>
      <c r="AH395" s="282"/>
      <c r="AI395" s="282"/>
      <c r="AJ395" s="282"/>
      <c r="AK395" s="282"/>
      <c r="AL395" s="282"/>
      <c r="AM395" s="282"/>
    </row>
    <row r="396">
      <c r="AC396" s="282"/>
      <c r="AD396" s="282"/>
      <c r="AE396" s="282"/>
      <c r="AF396" s="282"/>
      <c r="AG396" s="282"/>
      <c r="AH396" s="282"/>
      <c r="AI396" s="282"/>
      <c r="AJ396" s="282"/>
      <c r="AK396" s="282"/>
      <c r="AL396" s="282"/>
      <c r="AM396" s="282"/>
    </row>
    <row r="397">
      <c r="AC397" s="282"/>
      <c r="AD397" s="282"/>
      <c r="AE397" s="282"/>
      <c r="AF397" s="282"/>
      <c r="AG397" s="282"/>
      <c r="AH397" s="282"/>
      <c r="AI397" s="282"/>
      <c r="AJ397" s="282"/>
      <c r="AK397" s="282"/>
      <c r="AL397" s="282"/>
      <c r="AM397" s="282"/>
    </row>
    <row r="398">
      <c r="AC398" s="282"/>
      <c r="AD398" s="282"/>
      <c r="AE398" s="282"/>
      <c r="AF398" s="282"/>
      <c r="AG398" s="282"/>
      <c r="AH398" s="282"/>
      <c r="AI398" s="282"/>
      <c r="AJ398" s="282"/>
      <c r="AK398" s="282"/>
      <c r="AL398" s="282"/>
      <c r="AM398" s="282"/>
    </row>
    <row r="399">
      <c r="AC399" s="282"/>
      <c r="AD399" s="282"/>
      <c r="AE399" s="282"/>
      <c r="AF399" s="282"/>
      <c r="AG399" s="282"/>
      <c r="AH399" s="282"/>
      <c r="AI399" s="282"/>
      <c r="AJ399" s="282"/>
      <c r="AK399" s="282"/>
      <c r="AL399" s="282"/>
      <c r="AM399" s="282"/>
    </row>
    <row r="400">
      <c r="AC400" s="282"/>
      <c r="AD400" s="282"/>
      <c r="AE400" s="282"/>
      <c r="AF400" s="282"/>
      <c r="AG400" s="282"/>
      <c r="AH400" s="282"/>
      <c r="AI400" s="282"/>
      <c r="AJ400" s="282"/>
      <c r="AK400" s="282"/>
      <c r="AL400" s="282"/>
      <c r="AM400" s="282"/>
    </row>
    <row r="401">
      <c r="AC401" s="282"/>
      <c r="AD401" s="282"/>
      <c r="AE401" s="282"/>
      <c r="AF401" s="282"/>
      <c r="AG401" s="282"/>
      <c r="AH401" s="282"/>
      <c r="AI401" s="282"/>
      <c r="AJ401" s="282"/>
      <c r="AK401" s="282"/>
      <c r="AL401" s="282"/>
      <c r="AM401" s="282"/>
    </row>
    <row r="402">
      <c r="AC402" s="282"/>
      <c r="AD402" s="282"/>
      <c r="AE402" s="282"/>
      <c r="AF402" s="282"/>
      <c r="AG402" s="282"/>
      <c r="AH402" s="282"/>
      <c r="AI402" s="282"/>
      <c r="AJ402" s="282"/>
      <c r="AK402" s="282"/>
      <c r="AL402" s="282"/>
      <c r="AM402" s="282"/>
    </row>
    <row r="403">
      <c r="AC403" s="282"/>
      <c r="AD403" s="282"/>
      <c r="AE403" s="282"/>
      <c r="AF403" s="282"/>
      <c r="AG403" s="282"/>
      <c r="AH403" s="282"/>
      <c r="AI403" s="282"/>
      <c r="AJ403" s="282"/>
      <c r="AK403" s="282"/>
      <c r="AL403" s="282"/>
      <c r="AM403" s="282"/>
    </row>
    <row r="404">
      <c r="AC404" s="282"/>
      <c r="AD404" s="282"/>
      <c r="AE404" s="282"/>
      <c r="AF404" s="282"/>
      <c r="AG404" s="282"/>
      <c r="AH404" s="282"/>
      <c r="AI404" s="282"/>
      <c r="AJ404" s="282"/>
      <c r="AK404" s="282"/>
      <c r="AL404" s="282"/>
      <c r="AM404" s="282"/>
    </row>
    <row r="405">
      <c r="AC405" s="282"/>
      <c r="AD405" s="282"/>
      <c r="AE405" s="282"/>
      <c r="AF405" s="282"/>
      <c r="AG405" s="282"/>
      <c r="AH405" s="282"/>
      <c r="AI405" s="282"/>
      <c r="AJ405" s="282"/>
      <c r="AK405" s="282"/>
      <c r="AL405" s="282"/>
      <c r="AM405" s="282"/>
    </row>
    <row r="406">
      <c r="AC406" s="282"/>
      <c r="AD406" s="282"/>
      <c r="AE406" s="282"/>
      <c r="AF406" s="282"/>
      <c r="AG406" s="282"/>
      <c r="AH406" s="282"/>
      <c r="AI406" s="282"/>
      <c r="AJ406" s="282"/>
      <c r="AK406" s="282"/>
      <c r="AL406" s="282"/>
      <c r="AM406" s="282"/>
    </row>
    <row r="407">
      <c r="AC407" s="282"/>
      <c r="AD407" s="282"/>
      <c r="AE407" s="282"/>
      <c r="AF407" s="282"/>
      <c r="AG407" s="282"/>
      <c r="AH407" s="282"/>
      <c r="AI407" s="282"/>
      <c r="AJ407" s="282"/>
      <c r="AK407" s="282"/>
      <c r="AL407" s="282"/>
      <c r="AM407" s="282"/>
    </row>
    <row r="408">
      <c r="AC408" s="282"/>
      <c r="AD408" s="282"/>
      <c r="AE408" s="282"/>
      <c r="AF408" s="282"/>
      <c r="AG408" s="282"/>
      <c r="AH408" s="282"/>
      <c r="AI408" s="282"/>
      <c r="AJ408" s="282"/>
      <c r="AK408" s="282"/>
      <c r="AL408" s="282"/>
      <c r="AM408" s="282"/>
    </row>
    <row r="409">
      <c r="AC409" s="282"/>
      <c r="AD409" s="282"/>
      <c r="AE409" s="282"/>
      <c r="AF409" s="282"/>
      <c r="AG409" s="282"/>
      <c r="AH409" s="282"/>
      <c r="AI409" s="282"/>
      <c r="AJ409" s="282"/>
      <c r="AK409" s="282"/>
      <c r="AL409" s="282"/>
      <c r="AM409" s="282"/>
    </row>
    <row r="410">
      <c r="AC410" s="282"/>
      <c r="AD410" s="282"/>
      <c r="AE410" s="282"/>
      <c r="AF410" s="282"/>
      <c r="AG410" s="282"/>
      <c r="AH410" s="282"/>
      <c r="AI410" s="282"/>
      <c r="AJ410" s="282"/>
      <c r="AK410" s="282"/>
      <c r="AL410" s="282"/>
      <c r="AM410" s="282"/>
    </row>
    <row r="411">
      <c r="AC411" s="282"/>
      <c r="AD411" s="282"/>
      <c r="AE411" s="282"/>
      <c r="AF411" s="282"/>
      <c r="AG411" s="282"/>
      <c r="AH411" s="282"/>
      <c r="AI411" s="282"/>
      <c r="AJ411" s="282"/>
      <c r="AK411" s="282"/>
      <c r="AL411" s="282"/>
      <c r="AM411" s="282"/>
    </row>
    <row r="412">
      <c r="AC412" s="282"/>
      <c r="AD412" s="282"/>
      <c r="AE412" s="282"/>
      <c r="AF412" s="282"/>
      <c r="AG412" s="282"/>
      <c r="AH412" s="282"/>
      <c r="AI412" s="282"/>
      <c r="AJ412" s="282"/>
      <c r="AK412" s="282"/>
      <c r="AL412" s="282"/>
      <c r="AM412" s="282"/>
    </row>
    <row r="413">
      <c r="AC413" s="282"/>
      <c r="AD413" s="282"/>
      <c r="AE413" s="282"/>
      <c r="AF413" s="282"/>
      <c r="AG413" s="282"/>
      <c r="AH413" s="282"/>
      <c r="AI413" s="282"/>
      <c r="AJ413" s="282"/>
      <c r="AK413" s="282"/>
      <c r="AL413" s="282"/>
      <c r="AM413" s="282"/>
    </row>
    <row r="414">
      <c r="AC414" s="282"/>
      <c r="AD414" s="282"/>
      <c r="AE414" s="282"/>
      <c r="AF414" s="282"/>
      <c r="AG414" s="282"/>
      <c r="AH414" s="282"/>
      <c r="AI414" s="282"/>
      <c r="AJ414" s="282"/>
      <c r="AK414" s="282"/>
      <c r="AL414" s="282"/>
      <c r="AM414" s="282"/>
    </row>
    <row r="415">
      <c r="AC415" s="282"/>
      <c r="AD415" s="282"/>
      <c r="AE415" s="282"/>
      <c r="AF415" s="282"/>
      <c r="AG415" s="282"/>
      <c r="AH415" s="282"/>
      <c r="AI415" s="282"/>
      <c r="AJ415" s="282"/>
      <c r="AK415" s="282"/>
      <c r="AL415" s="282"/>
      <c r="AM415" s="282"/>
    </row>
    <row r="416">
      <c r="AC416" s="282"/>
      <c r="AD416" s="282"/>
      <c r="AE416" s="282"/>
      <c r="AF416" s="282"/>
      <c r="AG416" s="282"/>
      <c r="AH416" s="282"/>
      <c r="AI416" s="282"/>
      <c r="AJ416" s="282"/>
      <c r="AK416" s="282"/>
      <c r="AL416" s="282"/>
      <c r="AM416" s="282"/>
    </row>
    <row r="417">
      <c r="AC417" s="282"/>
      <c r="AD417" s="282"/>
      <c r="AE417" s="282"/>
      <c r="AF417" s="282"/>
      <c r="AG417" s="282"/>
      <c r="AH417" s="282"/>
      <c r="AI417" s="282"/>
      <c r="AJ417" s="282"/>
      <c r="AK417" s="282"/>
      <c r="AL417" s="282"/>
      <c r="AM417" s="282"/>
    </row>
    <row r="418">
      <c r="AC418" s="282"/>
      <c r="AD418" s="282"/>
      <c r="AE418" s="282"/>
      <c r="AF418" s="282"/>
      <c r="AG418" s="282"/>
      <c r="AH418" s="282"/>
      <c r="AI418" s="282"/>
      <c r="AJ418" s="282"/>
      <c r="AK418" s="282"/>
      <c r="AL418" s="282"/>
      <c r="AM418" s="282"/>
    </row>
    <row r="419">
      <c r="AC419" s="282"/>
      <c r="AD419" s="282"/>
      <c r="AE419" s="282"/>
      <c r="AF419" s="282"/>
      <c r="AG419" s="282"/>
      <c r="AH419" s="282"/>
      <c r="AI419" s="282"/>
      <c r="AJ419" s="282"/>
      <c r="AK419" s="282"/>
      <c r="AL419" s="282"/>
      <c r="AM419" s="282"/>
    </row>
    <row r="420">
      <c r="AC420" s="282"/>
      <c r="AD420" s="282"/>
      <c r="AE420" s="282"/>
      <c r="AF420" s="282"/>
      <c r="AG420" s="282"/>
      <c r="AH420" s="282"/>
      <c r="AI420" s="282"/>
      <c r="AJ420" s="282"/>
      <c r="AK420" s="282"/>
      <c r="AL420" s="282"/>
      <c r="AM420" s="282"/>
    </row>
    <row r="421">
      <c r="AC421" s="282"/>
      <c r="AD421" s="282"/>
      <c r="AE421" s="282"/>
      <c r="AF421" s="282"/>
      <c r="AG421" s="282"/>
      <c r="AH421" s="282"/>
      <c r="AI421" s="282"/>
      <c r="AJ421" s="282"/>
      <c r="AK421" s="282"/>
      <c r="AL421" s="282"/>
      <c r="AM421" s="282"/>
    </row>
    <row r="422">
      <c r="AC422" s="282"/>
      <c r="AD422" s="282"/>
      <c r="AE422" s="282"/>
      <c r="AF422" s="282"/>
      <c r="AG422" s="282"/>
      <c r="AH422" s="282"/>
      <c r="AI422" s="282"/>
      <c r="AJ422" s="282"/>
      <c r="AK422" s="282"/>
      <c r="AL422" s="282"/>
      <c r="AM422" s="282"/>
    </row>
    <row r="423">
      <c r="AC423" s="282"/>
      <c r="AD423" s="282"/>
      <c r="AE423" s="282"/>
      <c r="AF423" s="282"/>
      <c r="AG423" s="282"/>
      <c r="AH423" s="282"/>
      <c r="AI423" s="282"/>
      <c r="AJ423" s="282"/>
      <c r="AK423" s="282"/>
      <c r="AL423" s="282"/>
      <c r="AM423" s="282"/>
    </row>
    <row r="424">
      <c r="AC424" s="282"/>
      <c r="AD424" s="282"/>
      <c r="AE424" s="282"/>
      <c r="AF424" s="282"/>
      <c r="AG424" s="282"/>
      <c r="AH424" s="282"/>
      <c r="AI424" s="282"/>
      <c r="AJ424" s="282"/>
      <c r="AK424" s="282"/>
      <c r="AL424" s="282"/>
      <c r="AM424" s="282"/>
    </row>
    <row r="425">
      <c r="AC425" s="282"/>
      <c r="AD425" s="282"/>
      <c r="AE425" s="282"/>
      <c r="AF425" s="282"/>
      <c r="AG425" s="282"/>
      <c r="AH425" s="282"/>
      <c r="AI425" s="282"/>
      <c r="AJ425" s="282"/>
      <c r="AK425" s="282"/>
      <c r="AL425" s="282"/>
      <c r="AM425" s="282"/>
    </row>
    <row r="426">
      <c r="AC426" s="282"/>
      <c r="AD426" s="282"/>
      <c r="AE426" s="282"/>
      <c r="AF426" s="282"/>
      <c r="AG426" s="282"/>
      <c r="AH426" s="282"/>
      <c r="AI426" s="282"/>
      <c r="AJ426" s="282"/>
      <c r="AK426" s="282"/>
      <c r="AL426" s="282"/>
      <c r="AM426" s="282"/>
    </row>
    <row r="427">
      <c r="AC427" s="282"/>
      <c r="AD427" s="282"/>
      <c r="AE427" s="282"/>
      <c r="AF427" s="282"/>
      <c r="AG427" s="282"/>
      <c r="AH427" s="282"/>
      <c r="AI427" s="282"/>
      <c r="AJ427" s="282"/>
      <c r="AK427" s="282"/>
      <c r="AL427" s="282"/>
      <c r="AM427" s="282"/>
    </row>
    <row r="428">
      <c r="AC428" s="282"/>
      <c r="AD428" s="282"/>
      <c r="AE428" s="282"/>
      <c r="AF428" s="282"/>
      <c r="AG428" s="282"/>
      <c r="AH428" s="282"/>
      <c r="AI428" s="282"/>
      <c r="AJ428" s="282"/>
      <c r="AK428" s="282"/>
      <c r="AL428" s="282"/>
      <c r="AM428" s="282"/>
    </row>
    <row r="429">
      <c r="AC429" s="282"/>
      <c r="AD429" s="282"/>
      <c r="AE429" s="282"/>
      <c r="AF429" s="282"/>
      <c r="AG429" s="282"/>
      <c r="AH429" s="282"/>
      <c r="AI429" s="282"/>
      <c r="AJ429" s="282"/>
      <c r="AK429" s="282"/>
      <c r="AL429" s="282"/>
      <c r="AM429" s="282"/>
    </row>
    <row r="430">
      <c r="AC430" s="282"/>
      <c r="AD430" s="282"/>
      <c r="AE430" s="282"/>
      <c r="AF430" s="282"/>
      <c r="AG430" s="282"/>
      <c r="AH430" s="282"/>
      <c r="AI430" s="282"/>
      <c r="AJ430" s="282"/>
      <c r="AK430" s="282"/>
      <c r="AL430" s="282"/>
      <c r="AM430" s="282"/>
    </row>
    <row r="431">
      <c r="AC431" s="282"/>
      <c r="AD431" s="282"/>
      <c r="AE431" s="282"/>
      <c r="AF431" s="282"/>
      <c r="AG431" s="282"/>
      <c r="AH431" s="282"/>
      <c r="AI431" s="282"/>
      <c r="AJ431" s="282"/>
      <c r="AK431" s="282"/>
      <c r="AL431" s="282"/>
      <c r="AM431" s="282"/>
    </row>
    <row r="432">
      <c r="AC432" s="282"/>
      <c r="AD432" s="282"/>
      <c r="AE432" s="282"/>
      <c r="AF432" s="282"/>
      <c r="AG432" s="282"/>
      <c r="AH432" s="282"/>
      <c r="AI432" s="282"/>
      <c r="AJ432" s="282"/>
      <c r="AK432" s="282"/>
      <c r="AL432" s="282"/>
      <c r="AM432" s="282"/>
    </row>
    <row r="433">
      <c r="AC433" s="282"/>
      <c r="AD433" s="282"/>
      <c r="AE433" s="282"/>
      <c r="AF433" s="282"/>
      <c r="AG433" s="282"/>
      <c r="AH433" s="282"/>
      <c r="AI433" s="282"/>
      <c r="AJ433" s="282"/>
      <c r="AK433" s="282"/>
      <c r="AL433" s="282"/>
      <c r="AM433" s="282"/>
    </row>
    <row r="434">
      <c r="AC434" s="282"/>
      <c r="AD434" s="282"/>
      <c r="AE434" s="282"/>
      <c r="AF434" s="282"/>
      <c r="AG434" s="282"/>
      <c r="AH434" s="282"/>
      <c r="AI434" s="282"/>
      <c r="AJ434" s="282"/>
      <c r="AK434" s="282"/>
      <c r="AL434" s="282"/>
      <c r="AM434" s="282"/>
    </row>
    <row r="435">
      <c r="AC435" s="282"/>
      <c r="AD435" s="282"/>
      <c r="AE435" s="282"/>
      <c r="AF435" s="282"/>
      <c r="AG435" s="282"/>
      <c r="AH435" s="282"/>
      <c r="AI435" s="282"/>
      <c r="AJ435" s="282"/>
      <c r="AK435" s="282"/>
      <c r="AL435" s="282"/>
      <c r="AM435" s="282"/>
    </row>
    <row r="436">
      <c r="AC436" s="282"/>
      <c r="AD436" s="282"/>
      <c r="AE436" s="282"/>
      <c r="AF436" s="282"/>
      <c r="AG436" s="282"/>
      <c r="AH436" s="282"/>
      <c r="AI436" s="282"/>
      <c r="AJ436" s="282"/>
      <c r="AK436" s="282"/>
      <c r="AL436" s="282"/>
      <c r="AM436" s="282"/>
    </row>
    <row r="437">
      <c r="AC437" s="282"/>
      <c r="AD437" s="282"/>
      <c r="AE437" s="282"/>
      <c r="AF437" s="282"/>
      <c r="AG437" s="282"/>
      <c r="AH437" s="282"/>
      <c r="AI437" s="282"/>
      <c r="AJ437" s="282"/>
      <c r="AK437" s="282"/>
      <c r="AL437" s="282"/>
      <c r="AM437" s="282"/>
    </row>
    <row r="438">
      <c r="AC438" s="282"/>
      <c r="AD438" s="282"/>
      <c r="AE438" s="282"/>
      <c r="AF438" s="282"/>
      <c r="AG438" s="282"/>
      <c r="AH438" s="282"/>
      <c r="AI438" s="282"/>
      <c r="AJ438" s="282"/>
      <c r="AK438" s="282"/>
      <c r="AL438" s="282"/>
      <c r="AM438" s="282"/>
    </row>
    <row r="439">
      <c r="AC439" s="282"/>
      <c r="AD439" s="282"/>
      <c r="AE439" s="282"/>
      <c r="AF439" s="282"/>
      <c r="AG439" s="282"/>
      <c r="AH439" s="282"/>
      <c r="AI439" s="282"/>
      <c r="AJ439" s="282"/>
      <c r="AK439" s="282"/>
      <c r="AL439" s="282"/>
      <c r="AM439" s="282"/>
    </row>
    <row r="440">
      <c r="AC440" s="282"/>
      <c r="AD440" s="282"/>
      <c r="AE440" s="282"/>
      <c r="AF440" s="282"/>
      <c r="AG440" s="282"/>
      <c r="AH440" s="282"/>
      <c r="AI440" s="282"/>
      <c r="AJ440" s="282"/>
      <c r="AK440" s="282"/>
      <c r="AL440" s="282"/>
      <c r="AM440" s="282"/>
    </row>
    <row r="441">
      <c r="AC441" s="282"/>
      <c r="AD441" s="282"/>
      <c r="AE441" s="282"/>
      <c r="AF441" s="282"/>
      <c r="AG441" s="282"/>
      <c r="AH441" s="282"/>
      <c r="AI441" s="282"/>
      <c r="AJ441" s="282"/>
      <c r="AK441" s="282"/>
      <c r="AL441" s="282"/>
      <c r="AM441" s="282"/>
    </row>
    <row r="442">
      <c r="AC442" s="282"/>
      <c r="AD442" s="282"/>
      <c r="AE442" s="282"/>
      <c r="AF442" s="282"/>
      <c r="AG442" s="282"/>
      <c r="AH442" s="282"/>
      <c r="AI442" s="282"/>
      <c r="AJ442" s="282"/>
      <c r="AK442" s="282"/>
      <c r="AL442" s="282"/>
      <c r="AM442" s="282"/>
    </row>
    <row r="443">
      <c r="AC443" s="282"/>
      <c r="AD443" s="282"/>
      <c r="AE443" s="282"/>
      <c r="AF443" s="282"/>
      <c r="AG443" s="282"/>
      <c r="AH443" s="282"/>
      <c r="AI443" s="282"/>
      <c r="AJ443" s="282"/>
      <c r="AK443" s="282"/>
      <c r="AL443" s="282"/>
      <c r="AM443" s="282"/>
    </row>
    <row r="444">
      <c r="AC444" s="282"/>
      <c r="AD444" s="282"/>
      <c r="AE444" s="282"/>
      <c r="AF444" s="282"/>
      <c r="AG444" s="282"/>
      <c r="AH444" s="282"/>
      <c r="AI444" s="282"/>
      <c r="AJ444" s="282"/>
      <c r="AK444" s="282"/>
      <c r="AL444" s="282"/>
      <c r="AM444" s="282"/>
    </row>
    <row r="445">
      <c r="AC445" s="282"/>
      <c r="AD445" s="282"/>
      <c r="AE445" s="282"/>
      <c r="AF445" s="282"/>
      <c r="AG445" s="282"/>
      <c r="AH445" s="282"/>
      <c r="AI445" s="282"/>
      <c r="AJ445" s="282"/>
      <c r="AK445" s="282"/>
      <c r="AL445" s="282"/>
      <c r="AM445" s="282"/>
    </row>
    <row r="446">
      <c r="AC446" s="282"/>
      <c r="AD446" s="282"/>
      <c r="AE446" s="282"/>
      <c r="AF446" s="282"/>
      <c r="AG446" s="282"/>
      <c r="AH446" s="282"/>
      <c r="AI446" s="282"/>
      <c r="AJ446" s="282"/>
      <c r="AK446" s="282"/>
      <c r="AL446" s="282"/>
      <c r="AM446" s="282"/>
    </row>
    <row r="447">
      <c r="AC447" s="282"/>
      <c r="AD447" s="282"/>
      <c r="AE447" s="282"/>
      <c r="AF447" s="282"/>
      <c r="AG447" s="282"/>
      <c r="AH447" s="282"/>
      <c r="AI447" s="282"/>
      <c r="AJ447" s="282"/>
      <c r="AK447" s="282"/>
      <c r="AL447" s="282"/>
      <c r="AM447" s="282"/>
    </row>
    <row r="448">
      <c r="AC448" s="282"/>
      <c r="AD448" s="282"/>
      <c r="AE448" s="282"/>
      <c r="AF448" s="282"/>
      <c r="AG448" s="282"/>
      <c r="AH448" s="282"/>
      <c r="AI448" s="282"/>
      <c r="AJ448" s="282"/>
      <c r="AK448" s="282"/>
      <c r="AL448" s="282"/>
      <c r="AM448" s="282"/>
    </row>
    <row r="449">
      <c r="AC449" s="282"/>
      <c r="AD449" s="282"/>
      <c r="AE449" s="282"/>
      <c r="AF449" s="282"/>
      <c r="AG449" s="282"/>
      <c r="AH449" s="282"/>
      <c r="AI449" s="282"/>
      <c r="AJ449" s="282"/>
      <c r="AK449" s="282"/>
      <c r="AL449" s="282"/>
      <c r="AM449" s="282"/>
    </row>
    <row r="450">
      <c r="AC450" s="282"/>
      <c r="AD450" s="282"/>
      <c r="AE450" s="282"/>
      <c r="AF450" s="282"/>
      <c r="AG450" s="282"/>
      <c r="AH450" s="282"/>
      <c r="AI450" s="282"/>
      <c r="AJ450" s="282"/>
      <c r="AK450" s="282"/>
      <c r="AL450" s="282"/>
      <c r="AM450" s="282"/>
    </row>
    <row r="451">
      <c r="AC451" s="282"/>
      <c r="AD451" s="282"/>
      <c r="AE451" s="282"/>
      <c r="AF451" s="282"/>
      <c r="AG451" s="282"/>
      <c r="AH451" s="282"/>
      <c r="AI451" s="282"/>
      <c r="AJ451" s="282"/>
      <c r="AK451" s="282"/>
      <c r="AL451" s="282"/>
      <c r="AM451" s="282"/>
    </row>
    <row r="452">
      <c r="AC452" s="282"/>
      <c r="AD452" s="282"/>
      <c r="AE452" s="282"/>
      <c r="AF452" s="282"/>
      <c r="AG452" s="282"/>
      <c r="AH452" s="282"/>
      <c r="AI452" s="282"/>
      <c r="AJ452" s="282"/>
      <c r="AK452" s="282"/>
      <c r="AL452" s="282"/>
      <c r="AM452" s="282"/>
    </row>
    <row r="453">
      <c r="AC453" s="282"/>
      <c r="AD453" s="282"/>
      <c r="AE453" s="282"/>
      <c r="AF453" s="282"/>
      <c r="AG453" s="282"/>
      <c r="AH453" s="282"/>
      <c r="AI453" s="282"/>
      <c r="AJ453" s="282"/>
      <c r="AK453" s="282"/>
      <c r="AL453" s="282"/>
      <c r="AM453" s="282"/>
    </row>
    <row r="454">
      <c r="AC454" s="282"/>
      <c r="AD454" s="282"/>
      <c r="AE454" s="282"/>
      <c r="AF454" s="282"/>
      <c r="AG454" s="282"/>
      <c r="AH454" s="282"/>
      <c r="AI454" s="282"/>
      <c r="AJ454" s="282"/>
      <c r="AK454" s="282"/>
      <c r="AL454" s="282"/>
      <c r="AM454" s="282"/>
    </row>
    <row r="455">
      <c r="AC455" s="282"/>
      <c r="AD455" s="282"/>
      <c r="AE455" s="282"/>
      <c r="AF455" s="282"/>
      <c r="AG455" s="282"/>
      <c r="AH455" s="282"/>
      <c r="AI455" s="282"/>
      <c r="AJ455" s="282"/>
      <c r="AK455" s="282"/>
      <c r="AL455" s="282"/>
      <c r="AM455" s="282"/>
    </row>
    <row r="456">
      <c r="AC456" s="282"/>
      <c r="AD456" s="282"/>
      <c r="AE456" s="282"/>
      <c r="AF456" s="282"/>
      <c r="AG456" s="282"/>
      <c r="AH456" s="282"/>
      <c r="AI456" s="282"/>
      <c r="AJ456" s="282"/>
      <c r="AK456" s="282"/>
      <c r="AL456" s="282"/>
      <c r="AM456" s="282"/>
    </row>
    <row r="457">
      <c r="AC457" s="282"/>
      <c r="AD457" s="282"/>
      <c r="AE457" s="282"/>
      <c r="AF457" s="282"/>
      <c r="AG457" s="282"/>
      <c r="AH457" s="282"/>
      <c r="AI457" s="282"/>
      <c r="AJ457" s="282"/>
      <c r="AK457" s="282"/>
      <c r="AL457" s="282"/>
      <c r="AM457" s="282"/>
    </row>
    <row r="458">
      <c r="AC458" s="282"/>
      <c r="AD458" s="282"/>
      <c r="AE458" s="282"/>
      <c r="AF458" s="282"/>
      <c r="AG458" s="282"/>
      <c r="AH458" s="282"/>
      <c r="AI458" s="282"/>
      <c r="AJ458" s="282"/>
      <c r="AK458" s="282"/>
      <c r="AL458" s="282"/>
      <c r="AM458" s="282"/>
    </row>
    <row r="459">
      <c r="AC459" s="282"/>
      <c r="AD459" s="282"/>
      <c r="AE459" s="282"/>
      <c r="AF459" s="282"/>
      <c r="AG459" s="282"/>
      <c r="AH459" s="282"/>
      <c r="AI459" s="282"/>
      <c r="AJ459" s="282"/>
      <c r="AK459" s="282"/>
      <c r="AL459" s="282"/>
      <c r="AM459" s="282"/>
    </row>
    <row r="460">
      <c r="AC460" s="282"/>
      <c r="AD460" s="282"/>
      <c r="AE460" s="282"/>
      <c r="AF460" s="282"/>
      <c r="AG460" s="282"/>
      <c r="AH460" s="282"/>
      <c r="AI460" s="282"/>
      <c r="AJ460" s="282"/>
      <c r="AK460" s="282"/>
      <c r="AL460" s="282"/>
      <c r="AM460" s="282"/>
    </row>
    <row r="461">
      <c r="AC461" s="282"/>
      <c r="AD461" s="282"/>
      <c r="AE461" s="282"/>
      <c r="AF461" s="282"/>
      <c r="AG461" s="282"/>
      <c r="AH461" s="282"/>
      <c r="AI461" s="282"/>
      <c r="AJ461" s="282"/>
      <c r="AK461" s="282"/>
      <c r="AL461" s="282"/>
      <c r="AM461" s="282"/>
    </row>
    <row r="462">
      <c r="AC462" s="282"/>
      <c r="AD462" s="282"/>
      <c r="AE462" s="282"/>
      <c r="AF462" s="282"/>
      <c r="AG462" s="282"/>
      <c r="AH462" s="282"/>
      <c r="AI462" s="282"/>
      <c r="AJ462" s="282"/>
      <c r="AK462" s="282"/>
      <c r="AL462" s="282"/>
      <c r="AM462" s="282"/>
    </row>
    <row r="463">
      <c r="AC463" s="282"/>
      <c r="AD463" s="282"/>
      <c r="AE463" s="282"/>
      <c r="AF463" s="282"/>
      <c r="AG463" s="282"/>
      <c r="AH463" s="282"/>
      <c r="AI463" s="282"/>
      <c r="AJ463" s="282"/>
      <c r="AK463" s="282"/>
      <c r="AL463" s="282"/>
      <c r="AM463" s="282"/>
    </row>
    <row r="464">
      <c r="AC464" s="282"/>
      <c r="AD464" s="282"/>
      <c r="AE464" s="282"/>
      <c r="AF464" s="282"/>
      <c r="AG464" s="282"/>
      <c r="AH464" s="282"/>
      <c r="AI464" s="282"/>
      <c r="AJ464" s="282"/>
      <c r="AK464" s="282"/>
      <c r="AL464" s="282"/>
      <c r="AM464" s="282"/>
    </row>
    <row r="465">
      <c r="AC465" s="282"/>
      <c r="AD465" s="282"/>
      <c r="AE465" s="282"/>
      <c r="AF465" s="282"/>
      <c r="AG465" s="282"/>
      <c r="AH465" s="282"/>
      <c r="AI465" s="282"/>
      <c r="AJ465" s="282"/>
      <c r="AK465" s="282"/>
      <c r="AL465" s="282"/>
      <c r="AM465" s="282"/>
    </row>
    <row r="466">
      <c r="AC466" s="282"/>
      <c r="AD466" s="282"/>
      <c r="AE466" s="282"/>
      <c r="AF466" s="282"/>
      <c r="AG466" s="282"/>
      <c r="AH466" s="282"/>
      <c r="AI466" s="282"/>
      <c r="AJ466" s="282"/>
      <c r="AK466" s="282"/>
      <c r="AL466" s="282"/>
      <c r="AM466" s="282"/>
    </row>
    <row r="467">
      <c r="AC467" s="282"/>
      <c r="AD467" s="282"/>
      <c r="AE467" s="282"/>
      <c r="AF467" s="282"/>
      <c r="AG467" s="282"/>
      <c r="AH467" s="282"/>
      <c r="AI467" s="282"/>
      <c r="AJ467" s="282"/>
      <c r="AK467" s="282"/>
      <c r="AL467" s="282"/>
      <c r="AM467" s="282"/>
    </row>
    <row r="468">
      <c r="AC468" s="282"/>
      <c r="AD468" s="282"/>
      <c r="AE468" s="282"/>
      <c r="AF468" s="282"/>
      <c r="AG468" s="282"/>
      <c r="AH468" s="282"/>
      <c r="AI468" s="282"/>
      <c r="AJ468" s="282"/>
      <c r="AK468" s="282"/>
      <c r="AL468" s="282"/>
      <c r="AM468" s="282"/>
    </row>
    <row r="469">
      <c r="AC469" s="282"/>
      <c r="AD469" s="282"/>
      <c r="AE469" s="282"/>
      <c r="AF469" s="282"/>
      <c r="AG469" s="282"/>
      <c r="AH469" s="282"/>
      <c r="AI469" s="282"/>
      <c r="AJ469" s="282"/>
      <c r="AK469" s="282"/>
      <c r="AL469" s="282"/>
      <c r="AM469" s="282"/>
    </row>
    <row r="470">
      <c r="AC470" s="282"/>
      <c r="AD470" s="282"/>
      <c r="AE470" s="282"/>
      <c r="AF470" s="282"/>
      <c r="AG470" s="282"/>
      <c r="AH470" s="282"/>
      <c r="AI470" s="282"/>
      <c r="AJ470" s="282"/>
      <c r="AK470" s="282"/>
      <c r="AL470" s="282"/>
      <c r="AM470" s="282"/>
    </row>
    <row r="471">
      <c r="AC471" s="282"/>
      <c r="AD471" s="282"/>
      <c r="AE471" s="282"/>
      <c r="AF471" s="282"/>
      <c r="AG471" s="282"/>
      <c r="AH471" s="282"/>
      <c r="AI471" s="282"/>
      <c r="AJ471" s="282"/>
      <c r="AK471" s="282"/>
      <c r="AL471" s="282"/>
      <c r="AM471" s="282"/>
    </row>
    <row r="472">
      <c r="AC472" s="282"/>
      <c r="AD472" s="282"/>
      <c r="AE472" s="282"/>
      <c r="AF472" s="282"/>
      <c r="AG472" s="282"/>
      <c r="AH472" s="282"/>
      <c r="AI472" s="282"/>
      <c r="AJ472" s="282"/>
      <c r="AK472" s="282"/>
      <c r="AL472" s="282"/>
      <c r="AM472" s="282"/>
    </row>
    <row r="473">
      <c r="AC473" s="282"/>
      <c r="AD473" s="282"/>
      <c r="AE473" s="282"/>
      <c r="AF473" s="282"/>
      <c r="AG473" s="282"/>
      <c r="AH473" s="282"/>
      <c r="AI473" s="282"/>
      <c r="AJ473" s="282"/>
      <c r="AK473" s="282"/>
      <c r="AL473" s="282"/>
      <c r="AM473" s="282"/>
    </row>
    <row r="474">
      <c r="AC474" s="282"/>
      <c r="AD474" s="282"/>
      <c r="AE474" s="282"/>
      <c r="AF474" s="282"/>
      <c r="AG474" s="282"/>
      <c r="AH474" s="282"/>
      <c r="AI474" s="282"/>
      <c r="AJ474" s="282"/>
      <c r="AK474" s="282"/>
      <c r="AL474" s="282"/>
      <c r="AM474" s="282"/>
    </row>
    <row r="475">
      <c r="AC475" s="282"/>
      <c r="AD475" s="282"/>
      <c r="AE475" s="282"/>
      <c r="AF475" s="282"/>
      <c r="AG475" s="282"/>
      <c r="AH475" s="282"/>
      <c r="AI475" s="282"/>
      <c r="AJ475" s="282"/>
      <c r="AK475" s="282"/>
      <c r="AL475" s="282"/>
      <c r="AM475" s="282"/>
    </row>
    <row r="476">
      <c r="AC476" s="282"/>
      <c r="AD476" s="282"/>
      <c r="AE476" s="282"/>
      <c r="AF476" s="282"/>
      <c r="AG476" s="282"/>
      <c r="AH476" s="282"/>
      <c r="AI476" s="282"/>
      <c r="AJ476" s="282"/>
      <c r="AK476" s="282"/>
      <c r="AL476" s="282"/>
      <c r="AM476" s="282"/>
    </row>
    <row r="477">
      <c r="AC477" s="282"/>
      <c r="AD477" s="282"/>
      <c r="AE477" s="282"/>
      <c r="AF477" s="282"/>
      <c r="AG477" s="282"/>
      <c r="AH477" s="282"/>
      <c r="AI477" s="282"/>
      <c r="AJ477" s="282"/>
      <c r="AK477" s="282"/>
      <c r="AL477" s="282"/>
      <c r="AM477" s="282"/>
    </row>
    <row r="478">
      <c r="AC478" s="282"/>
      <c r="AD478" s="282"/>
      <c r="AE478" s="282"/>
      <c r="AF478" s="282"/>
      <c r="AG478" s="282"/>
      <c r="AH478" s="282"/>
      <c r="AI478" s="282"/>
      <c r="AJ478" s="282"/>
      <c r="AK478" s="282"/>
      <c r="AL478" s="282"/>
      <c r="AM478" s="282"/>
    </row>
    <row r="479">
      <c r="AC479" s="282"/>
      <c r="AD479" s="282"/>
      <c r="AE479" s="282"/>
      <c r="AF479" s="282"/>
      <c r="AG479" s="282"/>
      <c r="AH479" s="282"/>
      <c r="AI479" s="282"/>
      <c r="AJ479" s="282"/>
      <c r="AK479" s="282"/>
      <c r="AL479" s="282"/>
      <c r="AM479" s="282"/>
    </row>
    <row r="480">
      <c r="AC480" s="282"/>
      <c r="AD480" s="282"/>
      <c r="AE480" s="282"/>
      <c r="AF480" s="282"/>
      <c r="AG480" s="282"/>
      <c r="AH480" s="282"/>
      <c r="AI480" s="282"/>
      <c r="AJ480" s="282"/>
      <c r="AK480" s="282"/>
      <c r="AL480" s="282"/>
      <c r="AM480" s="282"/>
    </row>
    <row r="481">
      <c r="AC481" s="282"/>
      <c r="AD481" s="282"/>
      <c r="AE481" s="282"/>
      <c r="AF481" s="282"/>
      <c r="AG481" s="282"/>
      <c r="AH481" s="282"/>
      <c r="AI481" s="282"/>
      <c r="AJ481" s="282"/>
      <c r="AK481" s="282"/>
      <c r="AL481" s="282"/>
      <c r="AM481" s="282"/>
    </row>
    <row r="482">
      <c r="AC482" s="282"/>
      <c r="AD482" s="282"/>
      <c r="AE482" s="282"/>
      <c r="AF482" s="282"/>
      <c r="AG482" s="282"/>
      <c r="AH482" s="282"/>
      <c r="AI482" s="282"/>
      <c r="AJ482" s="282"/>
      <c r="AK482" s="282"/>
      <c r="AL482" s="282"/>
      <c r="AM482" s="282"/>
    </row>
    <row r="483">
      <c r="AC483" s="282"/>
      <c r="AD483" s="282"/>
      <c r="AE483" s="282"/>
      <c r="AF483" s="282"/>
      <c r="AG483" s="282"/>
      <c r="AH483" s="282"/>
      <c r="AI483" s="282"/>
      <c r="AJ483" s="282"/>
      <c r="AK483" s="282"/>
      <c r="AL483" s="282"/>
      <c r="AM483" s="282"/>
    </row>
    <row r="484">
      <c r="AC484" s="282"/>
      <c r="AD484" s="282"/>
      <c r="AE484" s="282"/>
      <c r="AF484" s="282"/>
      <c r="AG484" s="282"/>
      <c r="AH484" s="282"/>
      <c r="AI484" s="282"/>
      <c r="AJ484" s="282"/>
      <c r="AK484" s="282"/>
      <c r="AL484" s="282"/>
      <c r="AM484" s="282"/>
    </row>
    <row r="485">
      <c r="AC485" s="282"/>
      <c r="AD485" s="282"/>
      <c r="AE485" s="282"/>
      <c r="AF485" s="282"/>
      <c r="AG485" s="282"/>
      <c r="AH485" s="282"/>
      <c r="AI485" s="282"/>
      <c r="AJ485" s="282"/>
      <c r="AK485" s="282"/>
      <c r="AL485" s="282"/>
      <c r="AM485" s="282"/>
    </row>
    <row r="486">
      <c r="AC486" s="282"/>
      <c r="AD486" s="282"/>
      <c r="AE486" s="282"/>
      <c r="AF486" s="282"/>
      <c r="AG486" s="282"/>
      <c r="AH486" s="282"/>
      <c r="AI486" s="282"/>
      <c r="AJ486" s="282"/>
      <c r="AK486" s="282"/>
      <c r="AL486" s="282"/>
      <c r="AM486" s="282"/>
    </row>
    <row r="487">
      <c r="AC487" s="282"/>
      <c r="AD487" s="282"/>
      <c r="AE487" s="282"/>
      <c r="AF487" s="282"/>
      <c r="AG487" s="282"/>
      <c r="AH487" s="282"/>
      <c r="AI487" s="282"/>
      <c r="AJ487" s="282"/>
      <c r="AK487" s="282"/>
      <c r="AL487" s="282"/>
      <c r="AM487" s="282"/>
    </row>
    <row r="488">
      <c r="AC488" s="282"/>
      <c r="AD488" s="282"/>
      <c r="AE488" s="282"/>
      <c r="AF488" s="282"/>
      <c r="AG488" s="282"/>
      <c r="AH488" s="282"/>
      <c r="AI488" s="282"/>
      <c r="AJ488" s="282"/>
      <c r="AK488" s="282"/>
      <c r="AL488" s="282"/>
      <c r="AM488" s="282"/>
    </row>
    <row r="489">
      <c r="AC489" s="282"/>
      <c r="AD489" s="282"/>
      <c r="AE489" s="282"/>
      <c r="AF489" s="282"/>
      <c r="AG489" s="282"/>
      <c r="AH489" s="282"/>
      <c r="AI489" s="282"/>
      <c r="AJ489" s="282"/>
      <c r="AK489" s="282"/>
      <c r="AL489" s="282"/>
      <c r="AM489" s="282"/>
    </row>
    <row r="490">
      <c r="AC490" s="282"/>
      <c r="AD490" s="282"/>
      <c r="AE490" s="282"/>
      <c r="AF490" s="282"/>
      <c r="AG490" s="282"/>
      <c r="AH490" s="282"/>
      <c r="AI490" s="282"/>
      <c r="AJ490" s="282"/>
      <c r="AK490" s="282"/>
      <c r="AL490" s="282"/>
      <c r="AM490" s="282"/>
    </row>
    <row r="491">
      <c r="AC491" s="282"/>
      <c r="AD491" s="282"/>
      <c r="AE491" s="282"/>
      <c r="AF491" s="282"/>
      <c r="AG491" s="282"/>
      <c r="AH491" s="282"/>
      <c r="AI491" s="282"/>
      <c r="AJ491" s="282"/>
      <c r="AK491" s="282"/>
      <c r="AL491" s="282"/>
      <c r="AM491" s="282"/>
    </row>
    <row r="492">
      <c r="AC492" s="282"/>
      <c r="AD492" s="282"/>
      <c r="AE492" s="282"/>
      <c r="AF492" s="282"/>
      <c r="AG492" s="282"/>
      <c r="AH492" s="282"/>
      <c r="AI492" s="282"/>
      <c r="AJ492" s="282"/>
      <c r="AK492" s="282"/>
      <c r="AL492" s="282"/>
      <c r="AM492" s="282"/>
    </row>
    <row r="493">
      <c r="AC493" s="282"/>
      <c r="AD493" s="282"/>
      <c r="AE493" s="282"/>
      <c r="AF493" s="282"/>
      <c r="AG493" s="282"/>
      <c r="AH493" s="282"/>
      <c r="AI493" s="282"/>
      <c r="AJ493" s="282"/>
      <c r="AK493" s="282"/>
      <c r="AL493" s="282"/>
      <c r="AM493" s="282"/>
    </row>
    <row r="494">
      <c r="AC494" s="282"/>
      <c r="AD494" s="282"/>
      <c r="AE494" s="282"/>
      <c r="AF494" s="282"/>
      <c r="AG494" s="282"/>
      <c r="AH494" s="282"/>
      <c r="AI494" s="282"/>
      <c r="AJ494" s="282"/>
      <c r="AK494" s="282"/>
      <c r="AL494" s="282"/>
      <c r="AM494" s="282"/>
    </row>
    <row r="495">
      <c r="AC495" s="282"/>
      <c r="AD495" s="282"/>
      <c r="AE495" s="282"/>
      <c r="AF495" s="282"/>
      <c r="AG495" s="282"/>
      <c r="AH495" s="282"/>
      <c r="AI495" s="282"/>
      <c r="AJ495" s="282"/>
      <c r="AK495" s="282"/>
      <c r="AL495" s="282"/>
      <c r="AM495" s="282"/>
    </row>
    <row r="496">
      <c r="AC496" s="282"/>
      <c r="AD496" s="282"/>
      <c r="AE496" s="282"/>
      <c r="AF496" s="282"/>
      <c r="AG496" s="282"/>
      <c r="AH496" s="282"/>
      <c r="AI496" s="282"/>
      <c r="AJ496" s="282"/>
      <c r="AK496" s="282"/>
      <c r="AL496" s="282"/>
      <c r="AM496" s="282"/>
    </row>
    <row r="497">
      <c r="AC497" s="282"/>
      <c r="AD497" s="282"/>
      <c r="AE497" s="282"/>
      <c r="AF497" s="282"/>
      <c r="AG497" s="282"/>
      <c r="AH497" s="282"/>
      <c r="AI497" s="282"/>
      <c r="AJ497" s="282"/>
      <c r="AK497" s="282"/>
      <c r="AL497" s="282"/>
      <c r="AM497" s="282"/>
    </row>
    <row r="498">
      <c r="AC498" s="282"/>
      <c r="AD498" s="282"/>
      <c r="AE498" s="282"/>
      <c r="AF498" s="282"/>
      <c r="AG498" s="282"/>
      <c r="AH498" s="282"/>
      <c r="AI498" s="282"/>
      <c r="AJ498" s="282"/>
      <c r="AK498" s="282"/>
      <c r="AL498" s="282"/>
      <c r="AM498" s="282"/>
    </row>
    <row r="499">
      <c r="AC499" s="282"/>
      <c r="AD499" s="282"/>
      <c r="AE499" s="282"/>
      <c r="AF499" s="282"/>
      <c r="AG499" s="282"/>
      <c r="AH499" s="282"/>
      <c r="AI499" s="282"/>
      <c r="AJ499" s="282"/>
      <c r="AK499" s="282"/>
      <c r="AL499" s="282"/>
      <c r="AM499" s="282"/>
    </row>
    <row r="500">
      <c r="AC500" s="282"/>
      <c r="AD500" s="282"/>
      <c r="AE500" s="282"/>
      <c r="AF500" s="282"/>
      <c r="AG500" s="282"/>
      <c r="AH500" s="282"/>
      <c r="AI500" s="282"/>
      <c r="AJ500" s="282"/>
      <c r="AK500" s="282"/>
      <c r="AL500" s="282"/>
      <c r="AM500" s="282"/>
    </row>
    <row r="501">
      <c r="AC501" s="282"/>
      <c r="AD501" s="282"/>
      <c r="AE501" s="282"/>
      <c r="AF501" s="282"/>
      <c r="AG501" s="282"/>
      <c r="AH501" s="282"/>
      <c r="AI501" s="282"/>
      <c r="AJ501" s="282"/>
      <c r="AK501" s="282"/>
      <c r="AL501" s="282"/>
      <c r="AM501" s="282"/>
    </row>
    <row r="502">
      <c r="AC502" s="282"/>
      <c r="AD502" s="282"/>
      <c r="AE502" s="282"/>
      <c r="AF502" s="282"/>
      <c r="AG502" s="282"/>
      <c r="AH502" s="282"/>
      <c r="AI502" s="282"/>
      <c r="AJ502" s="282"/>
      <c r="AK502" s="282"/>
      <c r="AL502" s="282"/>
      <c r="AM502" s="282"/>
    </row>
    <row r="503">
      <c r="AC503" s="282"/>
      <c r="AD503" s="282"/>
      <c r="AE503" s="282"/>
      <c r="AF503" s="282"/>
      <c r="AG503" s="282"/>
      <c r="AH503" s="282"/>
      <c r="AI503" s="282"/>
      <c r="AJ503" s="282"/>
      <c r="AK503" s="282"/>
      <c r="AL503" s="282"/>
      <c r="AM503" s="282"/>
    </row>
    <row r="504">
      <c r="AC504" s="282"/>
      <c r="AD504" s="282"/>
      <c r="AE504" s="282"/>
      <c r="AF504" s="282"/>
      <c r="AG504" s="282"/>
      <c r="AH504" s="282"/>
      <c r="AI504" s="282"/>
      <c r="AJ504" s="282"/>
      <c r="AK504" s="282"/>
      <c r="AL504" s="282"/>
      <c r="AM504" s="282"/>
    </row>
    <row r="505">
      <c r="AC505" s="282"/>
      <c r="AD505" s="282"/>
      <c r="AE505" s="282"/>
      <c r="AF505" s="282"/>
      <c r="AG505" s="282"/>
      <c r="AH505" s="282"/>
      <c r="AI505" s="282"/>
      <c r="AJ505" s="282"/>
      <c r="AK505" s="282"/>
      <c r="AL505" s="282"/>
      <c r="AM505" s="282"/>
    </row>
    <row r="506">
      <c r="AC506" s="282"/>
      <c r="AD506" s="282"/>
      <c r="AE506" s="282"/>
      <c r="AF506" s="282"/>
      <c r="AG506" s="282"/>
      <c r="AH506" s="282"/>
      <c r="AI506" s="282"/>
      <c r="AJ506" s="282"/>
      <c r="AK506" s="282"/>
      <c r="AL506" s="282"/>
      <c r="AM506" s="282"/>
    </row>
    <row r="507">
      <c r="AC507" s="282"/>
      <c r="AD507" s="282"/>
      <c r="AE507" s="282"/>
      <c r="AF507" s="282"/>
      <c r="AG507" s="282"/>
      <c r="AH507" s="282"/>
      <c r="AI507" s="282"/>
      <c r="AJ507" s="282"/>
      <c r="AK507" s="282"/>
      <c r="AL507" s="282"/>
      <c r="AM507" s="282"/>
    </row>
    <row r="508">
      <c r="AC508" s="282"/>
      <c r="AD508" s="282"/>
      <c r="AE508" s="282"/>
      <c r="AF508" s="282"/>
      <c r="AG508" s="282"/>
      <c r="AH508" s="282"/>
      <c r="AI508" s="282"/>
      <c r="AJ508" s="282"/>
      <c r="AK508" s="282"/>
      <c r="AL508" s="282"/>
      <c r="AM508" s="282"/>
    </row>
    <row r="509">
      <c r="AC509" s="282"/>
      <c r="AD509" s="282"/>
      <c r="AE509" s="282"/>
      <c r="AF509" s="282"/>
      <c r="AG509" s="282"/>
      <c r="AH509" s="282"/>
      <c r="AI509" s="282"/>
      <c r="AJ509" s="282"/>
      <c r="AK509" s="282"/>
      <c r="AL509" s="282"/>
      <c r="AM509" s="282"/>
    </row>
    <row r="510">
      <c r="AC510" s="282"/>
      <c r="AD510" s="282"/>
      <c r="AE510" s="282"/>
      <c r="AF510" s="282"/>
      <c r="AG510" s="282"/>
      <c r="AH510" s="282"/>
      <c r="AI510" s="282"/>
      <c r="AJ510" s="282"/>
      <c r="AK510" s="282"/>
      <c r="AL510" s="282"/>
      <c r="AM510" s="282"/>
    </row>
    <row r="511">
      <c r="AC511" s="282"/>
      <c r="AD511" s="282"/>
      <c r="AE511" s="282"/>
      <c r="AF511" s="282"/>
      <c r="AG511" s="282"/>
      <c r="AH511" s="282"/>
      <c r="AI511" s="282"/>
      <c r="AJ511" s="282"/>
      <c r="AK511" s="282"/>
      <c r="AL511" s="282"/>
      <c r="AM511" s="282"/>
    </row>
    <row r="512">
      <c r="AC512" s="282"/>
      <c r="AD512" s="282"/>
      <c r="AE512" s="282"/>
      <c r="AF512" s="282"/>
      <c r="AG512" s="282"/>
      <c r="AH512" s="282"/>
      <c r="AI512" s="282"/>
      <c r="AJ512" s="282"/>
      <c r="AK512" s="282"/>
      <c r="AL512" s="282"/>
      <c r="AM512" s="282"/>
    </row>
    <row r="513">
      <c r="AC513" s="282"/>
      <c r="AD513" s="282"/>
      <c r="AE513" s="282"/>
      <c r="AF513" s="282"/>
      <c r="AG513" s="282"/>
      <c r="AH513" s="282"/>
      <c r="AI513" s="282"/>
      <c r="AJ513" s="282"/>
      <c r="AK513" s="282"/>
      <c r="AL513" s="282"/>
      <c r="AM513" s="282"/>
    </row>
    <row r="514">
      <c r="AC514" s="282"/>
      <c r="AD514" s="282"/>
      <c r="AE514" s="282"/>
      <c r="AF514" s="282"/>
      <c r="AG514" s="282"/>
      <c r="AH514" s="282"/>
      <c r="AI514" s="282"/>
      <c r="AJ514" s="282"/>
      <c r="AK514" s="282"/>
      <c r="AL514" s="282"/>
      <c r="AM514" s="282"/>
    </row>
    <row r="515">
      <c r="AC515" s="282"/>
      <c r="AD515" s="282"/>
      <c r="AE515" s="282"/>
      <c r="AF515" s="282"/>
      <c r="AG515" s="282"/>
      <c r="AH515" s="282"/>
      <c r="AI515" s="282"/>
      <c r="AJ515" s="282"/>
      <c r="AK515" s="282"/>
      <c r="AL515" s="282"/>
      <c r="AM515" s="282"/>
    </row>
    <row r="516">
      <c r="AC516" s="282"/>
      <c r="AD516" s="282"/>
      <c r="AE516" s="282"/>
      <c r="AF516" s="282"/>
      <c r="AG516" s="282"/>
      <c r="AH516" s="282"/>
      <c r="AI516" s="282"/>
      <c r="AJ516" s="282"/>
      <c r="AK516" s="282"/>
      <c r="AL516" s="282"/>
      <c r="AM516" s="282"/>
    </row>
    <row r="517">
      <c r="AC517" s="282"/>
      <c r="AD517" s="282"/>
      <c r="AE517" s="282"/>
      <c r="AF517" s="282"/>
      <c r="AG517" s="282"/>
      <c r="AH517" s="282"/>
      <c r="AI517" s="282"/>
      <c r="AJ517" s="282"/>
      <c r="AK517" s="282"/>
      <c r="AL517" s="282"/>
      <c r="AM517" s="282"/>
    </row>
    <row r="518">
      <c r="AC518" s="282"/>
      <c r="AD518" s="282"/>
      <c r="AE518" s="282"/>
      <c r="AF518" s="282"/>
      <c r="AG518" s="282"/>
      <c r="AH518" s="282"/>
      <c r="AI518" s="282"/>
      <c r="AJ518" s="282"/>
      <c r="AK518" s="282"/>
      <c r="AL518" s="282"/>
      <c r="AM518" s="282"/>
    </row>
    <row r="519">
      <c r="AC519" s="282"/>
      <c r="AD519" s="282"/>
      <c r="AE519" s="282"/>
      <c r="AF519" s="282"/>
      <c r="AG519" s="282"/>
      <c r="AH519" s="282"/>
      <c r="AI519" s="282"/>
      <c r="AJ519" s="282"/>
      <c r="AK519" s="282"/>
      <c r="AL519" s="282"/>
      <c r="AM519" s="282"/>
    </row>
    <row r="520">
      <c r="AC520" s="282"/>
      <c r="AD520" s="282"/>
      <c r="AE520" s="282"/>
      <c r="AF520" s="282"/>
      <c r="AG520" s="282"/>
      <c r="AH520" s="282"/>
      <c r="AI520" s="282"/>
      <c r="AJ520" s="282"/>
      <c r="AK520" s="282"/>
      <c r="AL520" s="282"/>
      <c r="AM520" s="282"/>
    </row>
    <row r="521">
      <c r="AC521" s="282"/>
      <c r="AD521" s="282"/>
      <c r="AE521" s="282"/>
      <c r="AF521" s="282"/>
      <c r="AG521" s="282"/>
      <c r="AH521" s="282"/>
      <c r="AI521" s="282"/>
      <c r="AJ521" s="282"/>
      <c r="AK521" s="282"/>
      <c r="AL521" s="282"/>
      <c r="AM521" s="282"/>
    </row>
    <row r="522">
      <c r="AC522" s="282"/>
      <c r="AD522" s="282"/>
      <c r="AE522" s="282"/>
      <c r="AF522" s="282"/>
      <c r="AG522" s="282"/>
      <c r="AH522" s="282"/>
      <c r="AI522" s="282"/>
      <c r="AJ522" s="282"/>
      <c r="AK522" s="282"/>
      <c r="AL522" s="282"/>
      <c r="AM522" s="282"/>
    </row>
    <row r="523">
      <c r="AC523" s="282"/>
      <c r="AD523" s="282"/>
      <c r="AE523" s="282"/>
      <c r="AF523" s="282"/>
      <c r="AG523" s="282"/>
      <c r="AH523" s="282"/>
      <c r="AI523" s="282"/>
      <c r="AJ523" s="282"/>
      <c r="AK523" s="282"/>
      <c r="AL523" s="282"/>
      <c r="AM523" s="282"/>
    </row>
    <row r="524">
      <c r="AC524" s="282"/>
      <c r="AD524" s="282"/>
      <c r="AE524" s="282"/>
      <c r="AF524" s="282"/>
      <c r="AG524" s="282"/>
      <c r="AH524" s="282"/>
      <c r="AI524" s="282"/>
      <c r="AJ524" s="282"/>
      <c r="AK524" s="282"/>
      <c r="AL524" s="282"/>
      <c r="AM524" s="282"/>
    </row>
    <row r="525">
      <c r="AC525" s="282"/>
      <c r="AD525" s="282"/>
      <c r="AE525" s="282"/>
      <c r="AF525" s="282"/>
      <c r="AG525" s="282"/>
      <c r="AH525" s="282"/>
      <c r="AI525" s="282"/>
      <c r="AJ525" s="282"/>
      <c r="AK525" s="282"/>
      <c r="AL525" s="282"/>
      <c r="AM525" s="282"/>
    </row>
    <row r="526">
      <c r="AC526" s="282"/>
      <c r="AD526" s="282"/>
      <c r="AE526" s="282"/>
      <c r="AF526" s="282"/>
      <c r="AG526" s="282"/>
      <c r="AH526" s="282"/>
      <c r="AI526" s="282"/>
      <c r="AJ526" s="282"/>
      <c r="AK526" s="282"/>
      <c r="AL526" s="282"/>
      <c r="AM526" s="282"/>
    </row>
    <row r="527">
      <c r="AC527" s="282"/>
      <c r="AD527" s="282"/>
      <c r="AE527" s="282"/>
      <c r="AF527" s="282"/>
      <c r="AG527" s="282"/>
      <c r="AH527" s="282"/>
      <c r="AI527" s="282"/>
      <c r="AJ527" s="282"/>
      <c r="AK527" s="282"/>
      <c r="AL527" s="282"/>
      <c r="AM527" s="282"/>
    </row>
    <row r="528">
      <c r="AC528" s="282"/>
      <c r="AD528" s="282"/>
      <c r="AE528" s="282"/>
      <c r="AF528" s="282"/>
      <c r="AG528" s="282"/>
      <c r="AH528" s="282"/>
      <c r="AI528" s="282"/>
      <c r="AJ528" s="282"/>
      <c r="AK528" s="282"/>
      <c r="AL528" s="282"/>
      <c r="AM528" s="282"/>
    </row>
    <row r="529">
      <c r="AC529" s="282"/>
      <c r="AD529" s="282"/>
      <c r="AE529" s="282"/>
      <c r="AF529" s="282"/>
      <c r="AG529" s="282"/>
      <c r="AH529" s="282"/>
      <c r="AI529" s="282"/>
      <c r="AJ529" s="282"/>
      <c r="AK529" s="282"/>
      <c r="AL529" s="282"/>
      <c r="AM529" s="282"/>
    </row>
    <row r="530">
      <c r="AC530" s="282"/>
      <c r="AD530" s="282"/>
      <c r="AE530" s="282"/>
      <c r="AF530" s="282"/>
      <c r="AG530" s="282"/>
      <c r="AH530" s="282"/>
      <c r="AI530" s="282"/>
      <c r="AJ530" s="282"/>
      <c r="AK530" s="282"/>
      <c r="AL530" s="282"/>
      <c r="AM530" s="282"/>
    </row>
    <row r="531">
      <c r="AC531" s="282"/>
      <c r="AD531" s="282"/>
      <c r="AE531" s="282"/>
      <c r="AF531" s="282"/>
      <c r="AG531" s="282"/>
      <c r="AH531" s="282"/>
      <c r="AI531" s="282"/>
      <c r="AJ531" s="282"/>
      <c r="AK531" s="282"/>
      <c r="AL531" s="282"/>
      <c r="AM531" s="282"/>
    </row>
    <row r="532">
      <c r="AC532" s="282"/>
      <c r="AD532" s="282"/>
      <c r="AE532" s="282"/>
      <c r="AF532" s="282"/>
      <c r="AG532" s="282"/>
      <c r="AH532" s="282"/>
      <c r="AI532" s="282"/>
      <c r="AJ532" s="282"/>
      <c r="AK532" s="282"/>
      <c r="AL532" s="282"/>
      <c r="AM532" s="282"/>
    </row>
    <row r="533">
      <c r="AC533" s="282"/>
      <c r="AD533" s="282"/>
      <c r="AE533" s="282"/>
      <c r="AF533" s="282"/>
      <c r="AG533" s="282"/>
      <c r="AH533" s="282"/>
      <c r="AI533" s="282"/>
      <c r="AJ533" s="282"/>
      <c r="AK533" s="282"/>
      <c r="AL533" s="282"/>
      <c r="AM533" s="282"/>
    </row>
    <row r="534">
      <c r="AC534" s="282"/>
      <c r="AD534" s="282"/>
      <c r="AE534" s="282"/>
      <c r="AF534" s="282"/>
      <c r="AG534" s="282"/>
      <c r="AH534" s="282"/>
      <c r="AI534" s="282"/>
      <c r="AJ534" s="282"/>
      <c r="AK534" s="282"/>
      <c r="AL534" s="282"/>
      <c r="AM534" s="282"/>
    </row>
    <row r="535">
      <c r="AC535" s="282"/>
      <c r="AD535" s="282"/>
      <c r="AE535" s="282"/>
      <c r="AF535" s="282"/>
      <c r="AG535" s="282"/>
      <c r="AH535" s="282"/>
      <c r="AI535" s="282"/>
      <c r="AJ535" s="282"/>
      <c r="AK535" s="282"/>
      <c r="AL535" s="282"/>
      <c r="AM535" s="282"/>
    </row>
    <row r="536">
      <c r="AC536" s="282"/>
      <c r="AD536" s="282"/>
      <c r="AE536" s="282"/>
      <c r="AF536" s="282"/>
      <c r="AG536" s="282"/>
      <c r="AH536" s="282"/>
      <c r="AI536" s="282"/>
      <c r="AJ536" s="282"/>
      <c r="AK536" s="282"/>
      <c r="AL536" s="282"/>
      <c r="AM536" s="282"/>
    </row>
    <row r="537">
      <c r="AC537" s="282"/>
      <c r="AD537" s="282"/>
      <c r="AE537" s="282"/>
      <c r="AF537" s="282"/>
      <c r="AG537" s="282"/>
      <c r="AH537" s="282"/>
      <c r="AI537" s="282"/>
      <c r="AJ537" s="282"/>
      <c r="AK537" s="282"/>
      <c r="AL537" s="282"/>
      <c r="AM537" s="282"/>
    </row>
    <row r="538">
      <c r="AC538" s="282"/>
      <c r="AD538" s="282"/>
      <c r="AE538" s="282"/>
      <c r="AF538" s="282"/>
      <c r="AG538" s="282"/>
      <c r="AH538" s="282"/>
      <c r="AI538" s="282"/>
      <c r="AJ538" s="282"/>
      <c r="AK538" s="282"/>
      <c r="AL538" s="282"/>
      <c r="AM538" s="282"/>
    </row>
    <row r="539">
      <c r="AC539" s="282"/>
      <c r="AD539" s="282"/>
      <c r="AE539" s="282"/>
      <c r="AF539" s="282"/>
      <c r="AG539" s="282"/>
      <c r="AH539" s="282"/>
      <c r="AI539" s="282"/>
      <c r="AJ539" s="282"/>
      <c r="AK539" s="282"/>
      <c r="AL539" s="282"/>
      <c r="AM539" s="282"/>
    </row>
    <row r="540">
      <c r="AC540" s="282"/>
      <c r="AD540" s="282"/>
      <c r="AE540" s="282"/>
      <c r="AF540" s="282"/>
      <c r="AG540" s="282"/>
      <c r="AH540" s="282"/>
      <c r="AI540" s="282"/>
      <c r="AJ540" s="282"/>
      <c r="AK540" s="282"/>
      <c r="AL540" s="282"/>
      <c r="AM540" s="282"/>
    </row>
    <row r="541">
      <c r="AC541" s="282"/>
      <c r="AD541" s="282"/>
      <c r="AE541" s="282"/>
      <c r="AF541" s="282"/>
      <c r="AG541" s="282"/>
      <c r="AH541" s="282"/>
      <c r="AI541" s="282"/>
      <c r="AJ541" s="282"/>
      <c r="AK541" s="282"/>
      <c r="AL541" s="282"/>
      <c r="AM541" s="282"/>
    </row>
    <row r="542">
      <c r="AC542" s="282"/>
      <c r="AD542" s="282"/>
      <c r="AE542" s="282"/>
      <c r="AF542" s="282"/>
      <c r="AG542" s="282"/>
      <c r="AH542" s="282"/>
      <c r="AI542" s="282"/>
      <c r="AJ542" s="282"/>
      <c r="AK542" s="282"/>
      <c r="AL542" s="282"/>
      <c r="AM542" s="282"/>
    </row>
    <row r="543">
      <c r="AC543" s="282"/>
      <c r="AD543" s="282"/>
      <c r="AE543" s="282"/>
      <c r="AF543" s="282"/>
      <c r="AG543" s="282"/>
      <c r="AH543" s="282"/>
      <c r="AI543" s="282"/>
      <c r="AJ543" s="282"/>
      <c r="AK543" s="282"/>
      <c r="AL543" s="282"/>
      <c r="AM543" s="282"/>
    </row>
    <row r="544">
      <c r="AC544" s="282"/>
      <c r="AD544" s="282"/>
      <c r="AE544" s="282"/>
      <c r="AF544" s="282"/>
      <c r="AG544" s="282"/>
      <c r="AH544" s="282"/>
      <c r="AI544" s="282"/>
      <c r="AJ544" s="282"/>
      <c r="AK544" s="282"/>
      <c r="AL544" s="282"/>
      <c r="AM544" s="282"/>
    </row>
    <row r="545">
      <c r="AC545" s="282"/>
      <c r="AD545" s="282"/>
      <c r="AE545" s="282"/>
      <c r="AF545" s="282"/>
      <c r="AG545" s="282"/>
      <c r="AH545" s="282"/>
      <c r="AI545" s="282"/>
      <c r="AJ545" s="282"/>
      <c r="AK545" s="282"/>
      <c r="AL545" s="282"/>
      <c r="AM545" s="282"/>
    </row>
    <row r="546">
      <c r="AC546" s="282"/>
      <c r="AD546" s="282"/>
      <c r="AE546" s="282"/>
      <c r="AF546" s="282"/>
      <c r="AG546" s="282"/>
      <c r="AH546" s="282"/>
      <c r="AI546" s="282"/>
      <c r="AJ546" s="282"/>
      <c r="AK546" s="282"/>
      <c r="AL546" s="282"/>
      <c r="AM546" s="282"/>
    </row>
    <row r="547">
      <c r="AC547" s="282"/>
      <c r="AD547" s="282"/>
      <c r="AE547" s="282"/>
      <c r="AF547" s="282"/>
      <c r="AG547" s="282"/>
      <c r="AH547" s="282"/>
      <c r="AI547" s="282"/>
      <c r="AJ547" s="282"/>
      <c r="AK547" s="282"/>
      <c r="AL547" s="282"/>
      <c r="AM547" s="282"/>
    </row>
    <row r="548">
      <c r="AC548" s="282"/>
      <c r="AD548" s="282"/>
      <c r="AE548" s="282"/>
      <c r="AF548" s="282"/>
      <c r="AG548" s="282"/>
      <c r="AH548" s="282"/>
      <c r="AI548" s="282"/>
      <c r="AJ548" s="282"/>
      <c r="AK548" s="282"/>
      <c r="AL548" s="282"/>
      <c r="AM548" s="282"/>
    </row>
    <row r="549">
      <c r="AC549" s="282"/>
      <c r="AD549" s="282"/>
      <c r="AE549" s="282"/>
      <c r="AF549" s="282"/>
      <c r="AG549" s="282"/>
      <c r="AH549" s="282"/>
      <c r="AI549" s="282"/>
      <c r="AJ549" s="282"/>
      <c r="AK549" s="282"/>
      <c r="AL549" s="282"/>
      <c r="AM549" s="282"/>
    </row>
    <row r="550">
      <c r="AC550" s="282"/>
      <c r="AD550" s="282"/>
      <c r="AE550" s="282"/>
      <c r="AF550" s="282"/>
      <c r="AG550" s="282"/>
      <c r="AH550" s="282"/>
      <c r="AI550" s="282"/>
      <c r="AJ550" s="282"/>
      <c r="AK550" s="282"/>
      <c r="AL550" s="282"/>
      <c r="AM550" s="282"/>
    </row>
    <row r="551">
      <c r="AC551" s="282"/>
      <c r="AD551" s="282"/>
      <c r="AE551" s="282"/>
      <c r="AF551" s="282"/>
      <c r="AG551" s="282"/>
      <c r="AH551" s="282"/>
      <c r="AI551" s="282"/>
      <c r="AJ551" s="282"/>
      <c r="AK551" s="282"/>
      <c r="AL551" s="282"/>
      <c r="AM551" s="282"/>
    </row>
    <row r="552">
      <c r="AC552" s="282"/>
      <c r="AD552" s="282"/>
      <c r="AE552" s="282"/>
      <c r="AF552" s="282"/>
      <c r="AG552" s="282"/>
      <c r="AH552" s="282"/>
      <c r="AI552" s="282"/>
      <c r="AJ552" s="282"/>
      <c r="AK552" s="282"/>
      <c r="AL552" s="282"/>
      <c r="AM552" s="282"/>
    </row>
    <row r="553">
      <c r="AC553" s="282"/>
      <c r="AD553" s="282"/>
      <c r="AE553" s="282"/>
      <c r="AF553" s="282"/>
      <c r="AG553" s="282"/>
      <c r="AH553" s="282"/>
      <c r="AI553" s="282"/>
      <c r="AJ553" s="282"/>
      <c r="AK553" s="282"/>
      <c r="AL553" s="282"/>
      <c r="AM553" s="282"/>
    </row>
    <row r="554">
      <c r="AC554" s="282"/>
      <c r="AD554" s="282"/>
      <c r="AE554" s="282"/>
      <c r="AF554" s="282"/>
      <c r="AG554" s="282"/>
      <c r="AH554" s="282"/>
      <c r="AI554" s="282"/>
      <c r="AJ554" s="282"/>
      <c r="AK554" s="282"/>
      <c r="AL554" s="282"/>
      <c r="AM554" s="282"/>
    </row>
    <row r="555">
      <c r="AC555" s="282"/>
      <c r="AD555" s="282"/>
      <c r="AE555" s="282"/>
      <c r="AF555" s="282"/>
      <c r="AG555" s="282"/>
      <c r="AH555" s="282"/>
      <c r="AI555" s="282"/>
      <c r="AJ555" s="282"/>
      <c r="AK555" s="282"/>
      <c r="AL555" s="282"/>
      <c r="AM555" s="282"/>
    </row>
    <row r="556">
      <c r="AC556" s="282"/>
      <c r="AD556" s="282"/>
      <c r="AE556" s="282"/>
      <c r="AF556" s="282"/>
      <c r="AG556" s="282"/>
      <c r="AH556" s="282"/>
      <c r="AI556" s="282"/>
      <c r="AJ556" s="282"/>
      <c r="AK556" s="282"/>
      <c r="AL556" s="282"/>
      <c r="AM556" s="282"/>
    </row>
    <row r="557">
      <c r="AC557" s="282"/>
      <c r="AD557" s="282"/>
      <c r="AE557" s="282"/>
      <c r="AF557" s="282"/>
      <c r="AG557" s="282"/>
      <c r="AH557" s="282"/>
      <c r="AI557" s="282"/>
      <c r="AJ557" s="282"/>
      <c r="AK557" s="282"/>
      <c r="AL557" s="282"/>
      <c r="AM557" s="282"/>
    </row>
    <row r="558">
      <c r="AC558" s="282"/>
      <c r="AD558" s="282"/>
      <c r="AE558" s="282"/>
      <c r="AF558" s="282"/>
      <c r="AG558" s="282"/>
      <c r="AH558" s="282"/>
      <c r="AI558" s="282"/>
      <c r="AJ558" s="282"/>
      <c r="AK558" s="282"/>
      <c r="AL558" s="282"/>
      <c r="AM558" s="282"/>
    </row>
    <row r="559">
      <c r="AC559" s="282"/>
      <c r="AD559" s="282"/>
      <c r="AE559" s="282"/>
      <c r="AF559" s="282"/>
      <c r="AG559" s="282"/>
      <c r="AH559" s="282"/>
      <c r="AI559" s="282"/>
      <c r="AJ559" s="282"/>
      <c r="AK559" s="282"/>
      <c r="AL559" s="282"/>
      <c r="AM559" s="282"/>
    </row>
    <row r="560">
      <c r="AC560" s="282"/>
      <c r="AD560" s="282"/>
      <c r="AE560" s="282"/>
      <c r="AF560" s="282"/>
      <c r="AG560" s="282"/>
      <c r="AH560" s="282"/>
      <c r="AI560" s="282"/>
      <c r="AJ560" s="282"/>
      <c r="AK560" s="282"/>
      <c r="AL560" s="282"/>
      <c r="AM560" s="282"/>
    </row>
    <row r="561">
      <c r="AC561" s="282"/>
      <c r="AD561" s="282"/>
      <c r="AE561" s="282"/>
      <c r="AF561" s="282"/>
      <c r="AG561" s="282"/>
      <c r="AH561" s="282"/>
      <c r="AI561" s="282"/>
      <c r="AJ561" s="282"/>
      <c r="AK561" s="282"/>
      <c r="AL561" s="282"/>
      <c r="AM561" s="282"/>
    </row>
    <row r="562">
      <c r="AC562" s="282"/>
      <c r="AD562" s="282"/>
      <c r="AE562" s="282"/>
      <c r="AF562" s="282"/>
      <c r="AG562" s="282"/>
      <c r="AH562" s="282"/>
      <c r="AI562" s="282"/>
      <c r="AJ562" s="282"/>
      <c r="AK562" s="282"/>
      <c r="AL562" s="282"/>
      <c r="AM562" s="282"/>
    </row>
    <row r="563">
      <c r="AC563" s="282"/>
      <c r="AD563" s="282"/>
      <c r="AE563" s="282"/>
      <c r="AF563" s="282"/>
      <c r="AG563" s="282"/>
      <c r="AH563" s="282"/>
      <c r="AI563" s="282"/>
      <c r="AJ563" s="282"/>
      <c r="AK563" s="282"/>
      <c r="AL563" s="282"/>
      <c r="AM563" s="282"/>
    </row>
    <row r="564">
      <c r="AC564" s="282"/>
      <c r="AD564" s="282"/>
      <c r="AE564" s="282"/>
      <c r="AF564" s="282"/>
      <c r="AG564" s="282"/>
      <c r="AH564" s="282"/>
      <c r="AI564" s="282"/>
      <c r="AJ564" s="282"/>
      <c r="AK564" s="282"/>
      <c r="AL564" s="282"/>
      <c r="AM564" s="282"/>
    </row>
    <row r="565">
      <c r="AC565" s="282"/>
      <c r="AD565" s="282"/>
      <c r="AE565" s="282"/>
      <c r="AF565" s="282"/>
      <c r="AG565" s="282"/>
      <c r="AH565" s="282"/>
      <c r="AI565" s="282"/>
      <c r="AJ565" s="282"/>
      <c r="AK565" s="282"/>
      <c r="AL565" s="282"/>
      <c r="AM565" s="282"/>
    </row>
    <row r="566">
      <c r="AC566" s="282"/>
      <c r="AD566" s="282"/>
      <c r="AE566" s="282"/>
      <c r="AF566" s="282"/>
      <c r="AG566" s="282"/>
      <c r="AH566" s="282"/>
      <c r="AI566" s="282"/>
      <c r="AJ566" s="282"/>
      <c r="AK566" s="282"/>
      <c r="AL566" s="282"/>
      <c r="AM566" s="282"/>
    </row>
    <row r="567">
      <c r="AC567" s="282"/>
      <c r="AD567" s="282"/>
      <c r="AE567" s="282"/>
      <c r="AF567" s="282"/>
      <c r="AG567" s="282"/>
      <c r="AH567" s="282"/>
      <c r="AI567" s="282"/>
      <c r="AJ567" s="282"/>
      <c r="AK567" s="282"/>
      <c r="AL567" s="282"/>
      <c r="AM567" s="282"/>
    </row>
    <row r="568">
      <c r="AC568" s="282"/>
      <c r="AD568" s="282"/>
      <c r="AE568" s="282"/>
      <c r="AF568" s="282"/>
      <c r="AG568" s="282"/>
      <c r="AH568" s="282"/>
      <c r="AI568" s="282"/>
      <c r="AJ568" s="282"/>
      <c r="AK568" s="282"/>
      <c r="AL568" s="282"/>
      <c r="AM568" s="282"/>
    </row>
    <row r="569">
      <c r="AC569" s="282"/>
      <c r="AD569" s="282"/>
      <c r="AE569" s="282"/>
      <c r="AF569" s="282"/>
      <c r="AG569" s="282"/>
      <c r="AH569" s="282"/>
      <c r="AI569" s="282"/>
      <c r="AJ569" s="282"/>
      <c r="AK569" s="282"/>
      <c r="AL569" s="282"/>
      <c r="AM569" s="282"/>
    </row>
    <row r="570">
      <c r="AC570" s="282"/>
      <c r="AD570" s="282"/>
      <c r="AE570" s="282"/>
      <c r="AF570" s="282"/>
      <c r="AG570" s="282"/>
      <c r="AH570" s="282"/>
      <c r="AI570" s="282"/>
      <c r="AJ570" s="282"/>
      <c r="AK570" s="282"/>
      <c r="AL570" s="282"/>
      <c r="AM570" s="282"/>
    </row>
    <row r="571">
      <c r="AC571" s="282"/>
      <c r="AD571" s="282"/>
      <c r="AE571" s="282"/>
      <c r="AF571" s="282"/>
      <c r="AG571" s="282"/>
      <c r="AH571" s="282"/>
      <c r="AI571" s="282"/>
      <c r="AJ571" s="282"/>
      <c r="AK571" s="282"/>
      <c r="AL571" s="282"/>
      <c r="AM571" s="282"/>
    </row>
    <row r="572">
      <c r="AC572" s="282"/>
      <c r="AD572" s="282"/>
      <c r="AE572" s="282"/>
      <c r="AF572" s="282"/>
      <c r="AG572" s="282"/>
      <c r="AH572" s="282"/>
      <c r="AI572" s="282"/>
      <c r="AJ572" s="282"/>
      <c r="AK572" s="282"/>
      <c r="AL572" s="282"/>
      <c r="AM572" s="282"/>
    </row>
    <row r="573">
      <c r="AC573" s="282"/>
      <c r="AD573" s="282"/>
      <c r="AE573" s="282"/>
      <c r="AF573" s="282"/>
      <c r="AG573" s="282"/>
      <c r="AH573" s="282"/>
      <c r="AI573" s="282"/>
      <c r="AJ573" s="282"/>
      <c r="AK573" s="282"/>
      <c r="AL573" s="282"/>
      <c r="AM573" s="282"/>
    </row>
    <row r="574">
      <c r="AC574" s="282"/>
      <c r="AD574" s="282"/>
      <c r="AE574" s="282"/>
      <c r="AF574" s="282"/>
      <c r="AG574" s="282"/>
      <c r="AH574" s="282"/>
      <c r="AI574" s="282"/>
      <c r="AJ574" s="282"/>
      <c r="AK574" s="282"/>
      <c r="AL574" s="282"/>
      <c r="AM574" s="282"/>
    </row>
    <row r="575">
      <c r="AC575" s="282"/>
      <c r="AD575" s="282"/>
      <c r="AE575" s="282"/>
      <c r="AF575" s="282"/>
      <c r="AG575" s="282"/>
      <c r="AH575" s="282"/>
      <c r="AI575" s="282"/>
      <c r="AJ575" s="282"/>
      <c r="AK575" s="282"/>
      <c r="AL575" s="282"/>
      <c r="AM575" s="282"/>
    </row>
    <row r="576">
      <c r="AC576" s="282"/>
      <c r="AD576" s="282"/>
      <c r="AE576" s="282"/>
      <c r="AF576" s="282"/>
      <c r="AG576" s="282"/>
      <c r="AH576" s="282"/>
      <c r="AI576" s="282"/>
      <c r="AJ576" s="282"/>
      <c r="AK576" s="282"/>
      <c r="AL576" s="282"/>
      <c r="AM576" s="282"/>
    </row>
    <row r="577">
      <c r="AC577" s="282"/>
      <c r="AD577" s="282"/>
      <c r="AE577" s="282"/>
      <c r="AF577" s="282"/>
      <c r="AG577" s="282"/>
      <c r="AH577" s="282"/>
      <c r="AI577" s="282"/>
      <c r="AJ577" s="282"/>
      <c r="AK577" s="282"/>
      <c r="AL577" s="282"/>
      <c r="AM577" s="282"/>
    </row>
    <row r="578">
      <c r="AC578" s="282"/>
      <c r="AD578" s="282"/>
      <c r="AE578" s="282"/>
      <c r="AF578" s="282"/>
      <c r="AG578" s="282"/>
      <c r="AH578" s="282"/>
      <c r="AI578" s="282"/>
      <c r="AJ578" s="282"/>
      <c r="AK578" s="282"/>
      <c r="AL578" s="282"/>
      <c r="AM578" s="282"/>
    </row>
    <row r="579">
      <c r="AC579" s="282"/>
      <c r="AD579" s="282"/>
      <c r="AE579" s="282"/>
      <c r="AF579" s="282"/>
      <c r="AG579" s="282"/>
      <c r="AH579" s="282"/>
      <c r="AI579" s="282"/>
      <c r="AJ579" s="282"/>
      <c r="AK579" s="282"/>
      <c r="AL579" s="282"/>
      <c r="AM579" s="282"/>
    </row>
    <row r="580">
      <c r="AC580" s="282"/>
      <c r="AD580" s="282"/>
      <c r="AE580" s="282"/>
      <c r="AF580" s="282"/>
      <c r="AG580" s="282"/>
      <c r="AH580" s="282"/>
      <c r="AI580" s="282"/>
      <c r="AJ580" s="282"/>
      <c r="AK580" s="282"/>
      <c r="AL580" s="282"/>
      <c r="AM580" s="282"/>
    </row>
    <row r="581">
      <c r="AC581" s="282"/>
      <c r="AD581" s="282"/>
      <c r="AE581" s="282"/>
      <c r="AF581" s="282"/>
      <c r="AG581" s="282"/>
      <c r="AH581" s="282"/>
      <c r="AI581" s="282"/>
      <c r="AJ581" s="282"/>
      <c r="AK581" s="282"/>
      <c r="AL581" s="282"/>
      <c r="AM581" s="282"/>
    </row>
    <row r="582">
      <c r="AC582" s="282"/>
      <c r="AD582" s="282"/>
      <c r="AE582" s="282"/>
      <c r="AF582" s="282"/>
      <c r="AG582" s="282"/>
      <c r="AH582" s="282"/>
      <c r="AI582" s="282"/>
      <c r="AJ582" s="282"/>
      <c r="AK582" s="282"/>
      <c r="AL582" s="282"/>
      <c r="AM582" s="282"/>
    </row>
    <row r="583">
      <c r="AC583" s="282"/>
      <c r="AD583" s="282"/>
      <c r="AE583" s="282"/>
      <c r="AF583" s="282"/>
      <c r="AG583" s="282"/>
      <c r="AH583" s="282"/>
      <c r="AI583" s="282"/>
      <c r="AJ583" s="282"/>
      <c r="AK583" s="282"/>
      <c r="AL583" s="282"/>
      <c r="AM583" s="282"/>
    </row>
    <row r="584">
      <c r="AC584" s="282"/>
      <c r="AD584" s="282"/>
      <c r="AE584" s="282"/>
      <c r="AF584" s="282"/>
      <c r="AG584" s="282"/>
      <c r="AH584" s="282"/>
      <c r="AI584" s="282"/>
      <c r="AJ584" s="282"/>
      <c r="AK584" s="282"/>
      <c r="AL584" s="282"/>
      <c r="AM584" s="282"/>
    </row>
    <row r="585">
      <c r="AC585" s="282"/>
      <c r="AD585" s="282"/>
      <c r="AE585" s="282"/>
      <c r="AF585" s="282"/>
      <c r="AG585" s="282"/>
      <c r="AH585" s="282"/>
      <c r="AI585" s="282"/>
      <c r="AJ585" s="282"/>
      <c r="AK585" s="282"/>
      <c r="AL585" s="282"/>
      <c r="AM585" s="282"/>
    </row>
    <row r="586">
      <c r="AC586" s="282"/>
      <c r="AD586" s="282"/>
      <c r="AE586" s="282"/>
      <c r="AF586" s="282"/>
      <c r="AG586" s="282"/>
      <c r="AH586" s="282"/>
      <c r="AI586" s="282"/>
      <c r="AJ586" s="282"/>
      <c r="AK586" s="282"/>
      <c r="AL586" s="282"/>
      <c r="AM586" s="282"/>
    </row>
    <row r="587">
      <c r="AC587" s="282"/>
      <c r="AD587" s="282"/>
      <c r="AE587" s="282"/>
      <c r="AF587" s="282"/>
      <c r="AG587" s="282"/>
      <c r="AH587" s="282"/>
      <c r="AI587" s="282"/>
      <c r="AJ587" s="282"/>
      <c r="AK587" s="282"/>
      <c r="AL587" s="282"/>
      <c r="AM587" s="282"/>
    </row>
    <row r="588">
      <c r="AC588" s="282"/>
      <c r="AD588" s="282"/>
      <c r="AE588" s="282"/>
      <c r="AF588" s="282"/>
      <c r="AG588" s="282"/>
      <c r="AH588" s="282"/>
      <c r="AI588" s="282"/>
      <c r="AJ588" s="282"/>
      <c r="AK588" s="282"/>
      <c r="AL588" s="282"/>
      <c r="AM588" s="282"/>
    </row>
    <row r="589">
      <c r="AC589" s="282"/>
      <c r="AD589" s="282"/>
      <c r="AE589" s="282"/>
      <c r="AF589" s="282"/>
      <c r="AG589" s="282"/>
      <c r="AH589" s="282"/>
      <c r="AI589" s="282"/>
      <c r="AJ589" s="282"/>
      <c r="AK589" s="282"/>
      <c r="AL589" s="282"/>
      <c r="AM589" s="282"/>
    </row>
    <row r="590">
      <c r="AC590" s="282"/>
      <c r="AD590" s="282"/>
      <c r="AE590" s="282"/>
      <c r="AF590" s="282"/>
      <c r="AG590" s="282"/>
      <c r="AH590" s="282"/>
      <c r="AI590" s="282"/>
      <c r="AJ590" s="282"/>
      <c r="AK590" s="282"/>
      <c r="AL590" s="282"/>
      <c r="AM590" s="282"/>
    </row>
    <row r="591">
      <c r="AC591" s="282"/>
      <c r="AD591" s="282"/>
      <c r="AE591" s="282"/>
      <c r="AF591" s="282"/>
      <c r="AG591" s="282"/>
      <c r="AH591" s="282"/>
      <c r="AI591" s="282"/>
      <c r="AJ591" s="282"/>
      <c r="AK591" s="282"/>
      <c r="AL591" s="282"/>
      <c r="AM591" s="282"/>
    </row>
    <row r="592">
      <c r="AC592" s="282"/>
      <c r="AD592" s="282"/>
      <c r="AE592" s="282"/>
      <c r="AF592" s="282"/>
      <c r="AG592" s="282"/>
      <c r="AH592" s="282"/>
      <c r="AI592" s="282"/>
      <c r="AJ592" s="282"/>
      <c r="AK592" s="282"/>
      <c r="AL592" s="282"/>
      <c r="AM592" s="282"/>
    </row>
    <row r="593">
      <c r="AC593" s="282"/>
      <c r="AD593" s="282"/>
      <c r="AE593" s="282"/>
      <c r="AF593" s="282"/>
      <c r="AG593" s="282"/>
      <c r="AH593" s="282"/>
      <c r="AI593" s="282"/>
      <c r="AJ593" s="282"/>
      <c r="AK593" s="282"/>
      <c r="AL593" s="282"/>
      <c r="AM593" s="282"/>
    </row>
    <row r="594">
      <c r="AC594" s="282"/>
      <c r="AD594" s="282"/>
      <c r="AE594" s="282"/>
      <c r="AF594" s="282"/>
      <c r="AG594" s="282"/>
      <c r="AH594" s="282"/>
      <c r="AI594" s="282"/>
      <c r="AJ594" s="282"/>
      <c r="AK594" s="282"/>
      <c r="AL594" s="282"/>
      <c r="AM594" s="282"/>
    </row>
    <row r="595">
      <c r="AC595" s="282"/>
      <c r="AD595" s="282"/>
      <c r="AE595" s="282"/>
      <c r="AF595" s="282"/>
      <c r="AG595" s="282"/>
      <c r="AH595" s="282"/>
      <c r="AI595" s="282"/>
      <c r="AJ595" s="282"/>
      <c r="AK595" s="282"/>
      <c r="AL595" s="282"/>
      <c r="AM595" s="282"/>
    </row>
    <row r="596">
      <c r="AC596" s="282"/>
      <c r="AD596" s="282"/>
      <c r="AE596" s="282"/>
      <c r="AF596" s="282"/>
      <c r="AG596" s="282"/>
      <c r="AH596" s="282"/>
      <c r="AI596" s="282"/>
      <c r="AJ596" s="282"/>
      <c r="AK596" s="282"/>
      <c r="AL596" s="282"/>
      <c r="AM596" s="282"/>
    </row>
    <row r="597">
      <c r="AC597" s="282"/>
      <c r="AD597" s="282"/>
      <c r="AE597" s="282"/>
      <c r="AF597" s="282"/>
      <c r="AG597" s="282"/>
      <c r="AH597" s="282"/>
      <c r="AI597" s="282"/>
      <c r="AJ597" s="282"/>
      <c r="AK597" s="282"/>
      <c r="AL597" s="282"/>
      <c r="AM597" s="282"/>
    </row>
    <row r="598">
      <c r="AC598" s="282"/>
      <c r="AD598" s="282"/>
      <c r="AE598" s="282"/>
      <c r="AF598" s="282"/>
      <c r="AG598" s="282"/>
      <c r="AH598" s="282"/>
      <c r="AI598" s="282"/>
      <c r="AJ598" s="282"/>
      <c r="AK598" s="282"/>
      <c r="AL598" s="282"/>
      <c r="AM598" s="282"/>
    </row>
    <row r="599">
      <c r="AC599" s="282"/>
      <c r="AD599" s="282"/>
      <c r="AE599" s="282"/>
      <c r="AF599" s="282"/>
      <c r="AG599" s="282"/>
      <c r="AH599" s="282"/>
      <c r="AI599" s="282"/>
      <c r="AJ599" s="282"/>
      <c r="AK599" s="282"/>
      <c r="AL599" s="282"/>
      <c r="AM599" s="282"/>
    </row>
    <row r="600">
      <c r="AC600" s="282"/>
      <c r="AD600" s="282"/>
      <c r="AE600" s="282"/>
      <c r="AF600" s="282"/>
      <c r="AG600" s="282"/>
      <c r="AH600" s="282"/>
      <c r="AI600" s="282"/>
      <c r="AJ600" s="282"/>
      <c r="AK600" s="282"/>
      <c r="AL600" s="282"/>
      <c r="AM600" s="282"/>
    </row>
    <row r="601">
      <c r="AC601" s="282"/>
      <c r="AD601" s="282"/>
      <c r="AE601" s="282"/>
      <c r="AF601" s="282"/>
      <c r="AG601" s="282"/>
      <c r="AH601" s="282"/>
      <c r="AI601" s="282"/>
      <c r="AJ601" s="282"/>
      <c r="AK601" s="282"/>
      <c r="AL601" s="282"/>
      <c r="AM601" s="282"/>
    </row>
    <row r="602">
      <c r="AC602" s="282"/>
      <c r="AD602" s="282"/>
      <c r="AE602" s="282"/>
      <c r="AF602" s="282"/>
      <c r="AG602" s="282"/>
      <c r="AH602" s="282"/>
      <c r="AI602" s="282"/>
      <c r="AJ602" s="282"/>
      <c r="AK602" s="282"/>
      <c r="AL602" s="282"/>
      <c r="AM602" s="282"/>
    </row>
    <row r="603">
      <c r="AC603" s="282"/>
      <c r="AD603" s="282"/>
      <c r="AE603" s="282"/>
      <c r="AF603" s="282"/>
      <c r="AG603" s="282"/>
      <c r="AH603" s="282"/>
      <c r="AI603" s="282"/>
      <c r="AJ603" s="282"/>
      <c r="AK603" s="282"/>
      <c r="AL603" s="282"/>
      <c r="AM603" s="282"/>
    </row>
    <row r="604">
      <c r="AC604" s="282"/>
      <c r="AD604" s="282"/>
      <c r="AE604" s="282"/>
      <c r="AF604" s="282"/>
      <c r="AG604" s="282"/>
      <c r="AH604" s="282"/>
      <c r="AI604" s="282"/>
      <c r="AJ604" s="282"/>
      <c r="AK604" s="282"/>
      <c r="AL604" s="282"/>
      <c r="AM604" s="282"/>
    </row>
    <row r="605">
      <c r="AC605" s="282"/>
      <c r="AD605" s="282"/>
      <c r="AE605" s="282"/>
      <c r="AF605" s="282"/>
      <c r="AG605" s="282"/>
      <c r="AH605" s="282"/>
      <c r="AI605" s="282"/>
      <c r="AJ605" s="282"/>
      <c r="AK605" s="282"/>
      <c r="AL605" s="282"/>
      <c r="AM605" s="282"/>
    </row>
    <row r="606">
      <c r="AC606" s="282"/>
      <c r="AD606" s="282"/>
      <c r="AE606" s="282"/>
      <c r="AF606" s="282"/>
      <c r="AG606" s="282"/>
      <c r="AH606" s="282"/>
      <c r="AI606" s="282"/>
      <c r="AJ606" s="282"/>
      <c r="AK606" s="282"/>
      <c r="AL606" s="282"/>
      <c r="AM606" s="282"/>
    </row>
    <row r="607">
      <c r="AC607" s="282"/>
      <c r="AD607" s="282"/>
      <c r="AE607" s="282"/>
      <c r="AF607" s="282"/>
      <c r="AG607" s="282"/>
      <c r="AH607" s="282"/>
      <c r="AI607" s="282"/>
      <c r="AJ607" s="282"/>
      <c r="AK607" s="282"/>
      <c r="AL607" s="282"/>
      <c r="AM607" s="282"/>
    </row>
    <row r="608">
      <c r="AC608" s="282"/>
      <c r="AD608" s="282"/>
      <c r="AE608" s="282"/>
      <c r="AF608" s="282"/>
      <c r="AG608" s="282"/>
      <c r="AH608" s="282"/>
      <c r="AI608" s="282"/>
      <c r="AJ608" s="282"/>
      <c r="AK608" s="282"/>
      <c r="AL608" s="282"/>
      <c r="AM608" s="282"/>
    </row>
    <row r="609">
      <c r="AC609" s="282"/>
      <c r="AD609" s="282"/>
      <c r="AE609" s="282"/>
      <c r="AF609" s="282"/>
      <c r="AG609" s="282"/>
      <c r="AH609" s="282"/>
      <c r="AI609" s="282"/>
      <c r="AJ609" s="282"/>
      <c r="AK609" s="282"/>
      <c r="AL609" s="282"/>
      <c r="AM609" s="282"/>
    </row>
    <row r="610">
      <c r="AC610" s="282"/>
      <c r="AD610" s="282"/>
      <c r="AE610" s="282"/>
      <c r="AF610" s="282"/>
      <c r="AG610" s="282"/>
      <c r="AH610" s="282"/>
      <c r="AI610" s="282"/>
      <c r="AJ610" s="282"/>
      <c r="AK610" s="282"/>
      <c r="AL610" s="282"/>
      <c r="AM610" s="282"/>
    </row>
    <row r="611">
      <c r="AC611" s="282"/>
      <c r="AD611" s="282"/>
      <c r="AE611" s="282"/>
      <c r="AF611" s="282"/>
      <c r="AG611" s="282"/>
      <c r="AH611" s="282"/>
      <c r="AI611" s="282"/>
      <c r="AJ611" s="282"/>
      <c r="AK611" s="282"/>
      <c r="AL611" s="282"/>
      <c r="AM611" s="282"/>
    </row>
    <row r="612">
      <c r="AC612" s="282"/>
      <c r="AD612" s="282"/>
      <c r="AE612" s="282"/>
      <c r="AF612" s="282"/>
      <c r="AG612" s="282"/>
      <c r="AH612" s="282"/>
      <c r="AI612" s="282"/>
      <c r="AJ612" s="282"/>
      <c r="AK612" s="282"/>
      <c r="AL612" s="282"/>
      <c r="AM612" s="282"/>
    </row>
    <row r="613">
      <c r="AC613" s="282"/>
      <c r="AD613" s="282"/>
      <c r="AE613" s="282"/>
      <c r="AF613" s="282"/>
      <c r="AG613" s="282"/>
      <c r="AH613" s="282"/>
      <c r="AI613" s="282"/>
      <c r="AJ613" s="282"/>
      <c r="AK613" s="282"/>
      <c r="AL613" s="282"/>
      <c r="AM613" s="282"/>
    </row>
    <row r="614">
      <c r="AC614" s="282"/>
      <c r="AD614" s="282"/>
      <c r="AE614" s="282"/>
      <c r="AF614" s="282"/>
      <c r="AG614" s="282"/>
      <c r="AH614" s="282"/>
      <c r="AI614" s="282"/>
      <c r="AJ614" s="282"/>
      <c r="AK614" s="282"/>
      <c r="AL614" s="282"/>
      <c r="AM614" s="282"/>
    </row>
    <row r="615">
      <c r="AC615" s="282"/>
      <c r="AD615" s="282"/>
      <c r="AE615" s="282"/>
      <c r="AF615" s="282"/>
      <c r="AG615" s="282"/>
      <c r="AH615" s="282"/>
      <c r="AI615" s="282"/>
      <c r="AJ615" s="282"/>
      <c r="AK615" s="282"/>
      <c r="AL615" s="282"/>
      <c r="AM615" s="282"/>
    </row>
    <row r="616">
      <c r="AC616" s="282"/>
      <c r="AD616" s="282"/>
      <c r="AE616" s="282"/>
      <c r="AF616" s="282"/>
      <c r="AG616" s="282"/>
      <c r="AH616" s="282"/>
      <c r="AI616" s="282"/>
      <c r="AJ616" s="282"/>
      <c r="AK616" s="282"/>
      <c r="AL616" s="282"/>
      <c r="AM616" s="282"/>
    </row>
    <row r="617">
      <c r="AC617" s="282"/>
      <c r="AD617" s="282"/>
      <c r="AE617" s="282"/>
      <c r="AF617" s="282"/>
      <c r="AG617" s="282"/>
      <c r="AH617" s="282"/>
      <c r="AI617" s="282"/>
      <c r="AJ617" s="282"/>
      <c r="AK617" s="282"/>
      <c r="AL617" s="282"/>
      <c r="AM617" s="282"/>
    </row>
    <row r="618">
      <c r="AC618" s="282"/>
      <c r="AD618" s="282"/>
      <c r="AE618" s="282"/>
      <c r="AF618" s="282"/>
      <c r="AG618" s="282"/>
      <c r="AH618" s="282"/>
      <c r="AI618" s="282"/>
      <c r="AJ618" s="282"/>
      <c r="AK618" s="282"/>
      <c r="AL618" s="282"/>
      <c r="AM618" s="282"/>
    </row>
    <row r="619">
      <c r="AC619" s="282"/>
      <c r="AD619" s="282"/>
      <c r="AE619" s="282"/>
      <c r="AF619" s="282"/>
      <c r="AG619" s="282"/>
      <c r="AH619" s="282"/>
      <c r="AI619" s="282"/>
      <c r="AJ619" s="282"/>
      <c r="AK619" s="282"/>
      <c r="AL619" s="282"/>
      <c r="AM619" s="282"/>
    </row>
    <row r="620">
      <c r="AC620" s="282"/>
      <c r="AD620" s="282"/>
      <c r="AE620" s="282"/>
      <c r="AF620" s="282"/>
      <c r="AG620" s="282"/>
      <c r="AH620" s="282"/>
      <c r="AI620" s="282"/>
      <c r="AJ620" s="282"/>
      <c r="AK620" s="282"/>
      <c r="AL620" s="282"/>
      <c r="AM620" s="282"/>
    </row>
    <row r="621">
      <c r="AC621" s="282"/>
      <c r="AD621" s="282"/>
      <c r="AE621" s="282"/>
      <c r="AF621" s="282"/>
      <c r="AG621" s="282"/>
      <c r="AH621" s="282"/>
      <c r="AI621" s="282"/>
      <c r="AJ621" s="282"/>
      <c r="AK621" s="282"/>
      <c r="AL621" s="282"/>
      <c r="AM621" s="282"/>
    </row>
    <row r="622">
      <c r="AC622" s="282"/>
      <c r="AD622" s="282"/>
      <c r="AE622" s="282"/>
      <c r="AF622" s="282"/>
      <c r="AG622" s="282"/>
      <c r="AH622" s="282"/>
      <c r="AI622" s="282"/>
      <c r="AJ622" s="282"/>
      <c r="AK622" s="282"/>
      <c r="AL622" s="282"/>
      <c r="AM622" s="282"/>
    </row>
    <row r="623">
      <c r="AC623" s="282"/>
      <c r="AD623" s="282"/>
      <c r="AE623" s="282"/>
      <c r="AF623" s="282"/>
      <c r="AG623" s="282"/>
      <c r="AH623" s="282"/>
      <c r="AI623" s="282"/>
      <c r="AJ623" s="282"/>
      <c r="AK623" s="282"/>
      <c r="AL623" s="282"/>
      <c r="AM623" s="282"/>
    </row>
    <row r="624">
      <c r="AC624" s="282"/>
      <c r="AD624" s="282"/>
      <c r="AE624" s="282"/>
      <c r="AF624" s="282"/>
      <c r="AG624" s="282"/>
      <c r="AH624" s="282"/>
      <c r="AI624" s="282"/>
      <c r="AJ624" s="282"/>
      <c r="AK624" s="282"/>
      <c r="AL624" s="282"/>
      <c r="AM624" s="282"/>
    </row>
    <row r="625">
      <c r="AC625" s="282"/>
      <c r="AD625" s="282"/>
      <c r="AE625" s="282"/>
      <c r="AF625" s="282"/>
      <c r="AG625" s="282"/>
      <c r="AH625" s="282"/>
      <c r="AI625" s="282"/>
      <c r="AJ625" s="282"/>
      <c r="AK625" s="282"/>
      <c r="AL625" s="282"/>
      <c r="AM625" s="282"/>
    </row>
    <row r="626">
      <c r="AC626" s="282"/>
      <c r="AD626" s="282"/>
      <c r="AE626" s="282"/>
      <c r="AF626" s="282"/>
      <c r="AG626" s="282"/>
      <c r="AH626" s="282"/>
      <c r="AI626" s="282"/>
      <c r="AJ626" s="282"/>
      <c r="AK626" s="282"/>
      <c r="AL626" s="282"/>
      <c r="AM626" s="282"/>
    </row>
    <row r="627">
      <c r="AC627" s="282"/>
      <c r="AD627" s="282"/>
      <c r="AE627" s="282"/>
      <c r="AF627" s="282"/>
      <c r="AG627" s="282"/>
      <c r="AH627" s="282"/>
      <c r="AI627" s="282"/>
      <c r="AJ627" s="282"/>
      <c r="AK627" s="282"/>
      <c r="AL627" s="282"/>
      <c r="AM627" s="282"/>
    </row>
    <row r="628">
      <c r="AC628" s="282"/>
      <c r="AD628" s="282"/>
      <c r="AE628" s="282"/>
      <c r="AF628" s="282"/>
      <c r="AG628" s="282"/>
      <c r="AH628" s="282"/>
      <c r="AI628" s="282"/>
      <c r="AJ628" s="282"/>
      <c r="AK628" s="282"/>
      <c r="AL628" s="282"/>
      <c r="AM628" s="282"/>
    </row>
    <row r="629">
      <c r="AC629" s="282"/>
      <c r="AD629" s="282"/>
      <c r="AE629" s="282"/>
      <c r="AF629" s="282"/>
      <c r="AG629" s="282"/>
      <c r="AH629" s="282"/>
      <c r="AI629" s="282"/>
      <c r="AJ629" s="282"/>
      <c r="AK629" s="282"/>
      <c r="AL629" s="282"/>
      <c r="AM629" s="282"/>
    </row>
    <row r="630">
      <c r="AC630" s="282"/>
      <c r="AD630" s="282"/>
      <c r="AE630" s="282"/>
      <c r="AF630" s="282"/>
      <c r="AG630" s="282"/>
      <c r="AH630" s="282"/>
      <c r="AI630" s="282"/>
      <c r="AJ630" s="282"/>
      <c r="AK630" s="282"/>
      <c r="AL630" s="282"/>
      <c r="AM630" s="282"/>
    </row>
    <row r="631">
      <c r="AC631" s="282"/>
      <c r="AD631" s="282"/>
      <c r="AE631" s="282"/>
      <c r="AF631" s="282"/>
      <c r="AG631" s="282"/>
      <c r="AH631" s="282"/>
      <c r="AI631" s="282"/>
      <c r="AJ631" s="282"/>
      <c r="AK631" s="282"/>
      <c r="AL631" s="282"/>
      <c r="AM631" s="282"/>
    </row>
    <row r="632">
      <c r="AC632" s="282"/>
      <c r="AD632" s="282"/>
      <c r="AE632" s="282"/>
      <c r="AF632" s="282"/>
      <c r="AG632" s="282"/>
      <c r="AH632" s="282"/>
      <c r="AI632" s="282"/>
      <c r="AJ632" s="282"/>
      <c r="AK632" s="282"/>
      <c r="AL632" s="282"/>
      <c r="AM632" s="282"/>
    </row>
    <row r="633">
      <c r="AC633" s="282"/>
      <c r="AD633" s="282"/>
      <c r="AE633" s="282"/>
      <c r="AF633" s="282"/>
      <c r="AG633" s="282"/>
      <c r="AH633" s="282"/>
      <c r="AI633" s="282"/>
      <c r="AJ633" s="282"/>
      <c r="AK633" s="282"/>
      <c r="AL633" s="282"/>
      <c r="AM633" s="282"/>
    </row>
    <row r="634">
      <c r="AC634" s="282"/>
      <c r="AD634" s="282"/>
      <c r="AE634" s="282"/>
      <c r="AF634" s="282"/>
      <c r="AG634" s="282"/>
      <c r="AH634" s="282"/>
      <c r="AI634" s="282"/>
      <c r="AJ634" s="282"/>
      <c r="AK634" s="282"/>
      <c r="AL634" s="282"/>
      <c r="AM634" s="282"/>
    </row>
    <row r="635">
      <c r="AC635" s="282"/>
      <c r="AD635" s="282"/>
      <c r="AE635" s="282"/>
      <c r="AF635" s="282"/>
      <c r="AG635" s="282"/>
      <c r="AH635" s="282"/>
      <c r="AI635" s="282"/>
      <c r="AJ635" s="282"/>
      <c r="AK635" s="282"/>
      <c r="AL635" s="282"/>
      <c r="AM635" s="282"/>
    </row>
    <row r="636">
      <c r="AC636" s="282"/>
      <c r="AD636" s="282"/>
      <c r="AE636" s="282"/>
      <c r="AF636" s="282"/>
      <c r="AG636" s="282"/>
      <c r="AH636" s="282"/>
      <c r="AI636" s="282"/>
      <c r="AJ636" s="282"/>
      <c r="AK636" s="282"/>
      <c r="AL636" s="282"/>
      <c r="AM636" s="282"/>
    </row>
    <row r="637">
      <c r="AC637" s="282"/>
      <c r="AD637" s="282"/>
      <c r="AE637" s="282"/>
      <c r="AF637" s="282"/>
      <c r="AG637" s="282"/>
      <c r="AH637" s="282"/>
      <c r="AI637" s="282"/>
      <c r="AJ637" s="282"/>
      <c r="AK637" s="282"/>
      <c r="AL637" s="282"/>
      <c r="AM637" s="282"/>
    </row>
    <row r="638">
      <c r="AC638" s="282"/>
      <c r="AD638" s="282"/>
      <c r="AE638" s="282"/>
      <c r="AF638" s="282"/>
      <c r="AG638" s="282"/>
      <c r="AH638" s="282"/>
      <c r="AI638" s="282"/>
      <c r="AJ638" s="282"/>
      <c r="AK638" s="282"/>
      <c r="AL638" s="282"/>
      <c r="AM638" s="282"/>
    </row>
    <row r="639">
      <c r="AC639" s="282"/>
      <c r="AD639" s="282"/>
      <c r="AE639" s="282"/>
      <c r="AF639" s="282"/>
      <c r="AG639" s="282"/>
      <c r="AH639" s="282"/>
      <c r="AI639" s="282"/>
      <c r="AJ639" s="282"/>
      <c r="AK639" s="282"/>
      <c r="AL639" s="282"/>
      <c r="AM639" s="282"/>
    </row>
    <row r="640">
      <c r="AC640" s="282"/>
      <c r="AD640" s="282"/>
      <c r="AE640" s="282"/>
      <c r="AF640" s="282"/>
      <c r="AG640" s="282"/>
      <c r="AH640" s="282"/>
      <c r="AI640" s="282"/>
      <c r="AJ640" s="282"/>
      <c r="AK640" s="282"/>
      <c r="AL640" s="282"/>
      <c r="AM640" s="282"/>
    </row>
    <row r="641">
      <c r="AC641" s="282"/>
      <c r="AD641" s="282"/>
      <c r="AE641" s="282"/>
      <c r="AF641" s="282"/>
      <c r="AG641" s="282"/>
      <c r="AH641" s="282"/>
      <c r="AI641" s="282"/>
      <c r="AJ641" s="282"/>
      <c r="AK641" s="282"/>
      <c r="AL641" s="282"/>
      <c r="AM641" s="282"/>
    </row>
    <row r="642">
      <c r="AC642" s="282"/>
      <c r="AD642" s="282"/>
      <c r="AE642" s="282"/>
      <c r="AF642" s="282"/>
      <c r="AG642" s="282"/>
      <c r="AH642" s="282"/>
      <c r="AI642" s="282"/>
      <c r="AJ642" s="282"/>
      <c r="AK642" s="282"/>
      <c r="AL642" s="282"/>
      <c r="AM642" s="282"/>
    </row>
    <row r="643">
      <c r="AC643" s="282"/>
      <c r="AD643" s="282"/>
      <c r="AE643" s="282"/>
      <c r="AF643" s="282"/>
      <c r="AG643" s="282"/>
      <c r="AH643" s="282"/>
      <c r="AI643" s="282"/>
      <c r="AJ643" s="282"/>
      <c r="AK643" s="282"/>
      <c r="AL643" s="282"/>
      <c r="AM643" s="282"/>
    </row>
    <row r="644">
      <c r="AC644" s="282"/>
      <c r="AD644" s="282"/>
      <c r="AE644" s="282"/>
      <c r="AF644" s="282"/>
      <c r="AG644" s="282"/>
      <c r="AH644" s="282"/>
      <c r="AI644" s="282"/>
      <c r="AJ644" s="282"/>
      <c r="AK644" s="282"/>
      <c r="AL644" s="282"/>
      <c r="AM644" s="282"/>
    </row>
    <row r="645">
      <c r="AC645" s="282"/>
      <c r="AD645" s="282"/>
      <c r="AE645" s="282"/>
      <c r="AF645" s="282"/>
      <c r="AG645" s="282"/>
      <c r="AH645" s="282"/>
      <c r="AI645" s="282"/>
      <c r="AJ645" s="282"/>
      <c r="AK645" s="282"/>
      <c r="AL645" s="282"/>
      <c r="AM645" s="282"/>
    </row>
    <row r="646">
      <c r="AC646" s="282"/>
      <c r="AD646" s="282"/>
      <c r="AE646" s="282"/>
      <c r="AF646" s="282"/>
      <c r="AG646" s="282"/>
      <c r="AH646" s="282"/>
      <c r="AI646" s="282"/>
      <c r="AJ646" s="282"/>
      <c r="AK646" s="282"/>
      <c r="AL646" s="282"/>
      <c r="AM646" s="282"/>
    </row>
    <row r="647">
      <c r="AC647" s="282"/>
      <c r="AD647" s="282"/>
      <c r="AE647" s="282"/>
      <c r="AF647" s="282"/>
      <c r="AG647" s="282"/>
      <c r="AH647" s="282"/>
      <c r="AI647" s="282"/>
      <c r="AJ647" s="282"/>
      <c r="AK647" s="282"/>
      <c r="AL647" s="282"/>
      <c r="AM647" s="282"/>
    </row>
    <row r="648">
      <c r="AC648" s="282"/>
      <c r="AD648" s="282"/>
      <c r="AE648" s="282"/>
      <c r="AF648" s="282"/>
      <c r="AG648" s="282"/>
      <c r="AH648" s="282"/>
      <c r="AI648" s="282"/>
      <c r="AJ648" s="282"/>
      <c r="AK648" s="282"/>
      <c r="AL648" s="282"/>
      <c r="AM648" s="282"/>
    </row>
    <row r="649">
      <c r="AC649" s="282"/>
      <c r="AD649" s="282"/>
      <c r="AE649" s="282"/>
      <c r="AF649" s="282"/>
      <c r="AG649" s="282"/>
      <c r="AH649" s="282"/>
      <c r="AI649" s="282"/>
      <c r="AJ649" s="282"/>
      <c r="AK649" s="282"/>
      <c r="AL649" s="282"/>
      <c r="AM649" s="282"/>
    </row>
    <row r="650">
      <c r="AC650" s="282"/>
      <c r="AD650" s="282"/>
      <c r="AE650" s="282"/>
      <c r="AF650" s="282"/>
      <c r="AG650" s="282"/>
      <c r="AH650" s="282"/>
      <c r="AI650" s="282"/>
      <c r="AJ650" s="282"/>
      <c r="AK650" s="282"/>
      <c r="AL650" s="282"/>
      <c r="AM650" s="282"/>
    </row>
    <row r="651">
      <c r="AC651" s="282"/>
      <c r="AD651" s="282"/>
      <c r="AE651" s="282"/>
      <c r="AF651" s="282"/>
      <c r="AG651" s="282"/>
      <c r="AH651" s="282"/>
      <c r="AI651" s="282"/>
      <c r="AJ651" s="282"/>
      <c r="AK651" s="282"/>
      <c r="AL651" s="282"/>
      <c r="AM651" s="282"/>
    </row>
    <row r="652">
      <c r="AC652" s="282"/>
      <c r="AD652" s="282"/>
      <c r="AE652" s="282"/>
      <c r="AF652" s="282"/>
      <c r="AG652" s="282"/>
      <c r="AH652" s="282"/>
      <c r="AI652" s="282"/>
      <c r="AJ652" s="282"/>
      <c r="AK652" s="282"/>
      <c r="AL652" s="282"/>
      <c r="AM652" s="282"/>
    </row>
    <row r="653">
      <c r="AC653" s="282"/>
      <c r="AD653" s="282"/>
      <c r="AE653" s="282"/>
      <c r="AF653" s="282"/>
      <c r="AG653" s="282"/>
      <c r="AH653" s="282"/>
      <c r="AI653" s="282"/>
      <c r="AJ653" s="282"/>
      <c r="AK653" s="282"/>
      <c r="AL653" s="282"/>
      <c r="AM653" s="282"/>
    </row>
    <row r="654">
      <c r="AC654" s="282"/>
      <c r="AD654" s="282"/>
      <c r="AE654" s="282"/>
      <c r="AF654" s="282"/>
      <c r="AG654" s="282"/>
      <c r="AH654" s="282"/>
      <c r="AI654" s="282"/>
      <c r="AJ654" s="282"/>
      <c r="AK654" s="282"/>
      <c r="AL654" s="282"/>
      <c r="AM654" s="282"/>
    </row>
    <row r="655">
      <c r="AC655" s="282"/>
      <c r="AD655" s="282"/>
      <c r="AE655" s="282"/>
      <c r="AF655" s="282"/>
      <c r="AG655" s="282"/>
      <c r="AH655" s="282"/>
      <c r="AI655" s="282"/>
      <c r="AJ655" s="282"/>
      <c r="AK655" s="282"/>
      <c r="AL655" s="282"/>
      <c r="AM655" s="282"/>
    </row>
    <row r="656">
      <c r="AC656" s="282"/>
      <c r="AD656" s="282"/>
      <c r="AE656" s="282"/>
      <c r="AF656" s="282"/>
      <c r="AG656" s="282"/>
      <c r="AH656" s="282"/>
      <c r="AI656" s="282"/>
      <c r="AJ656" s="282"/>
      <c r="AK656" s="282"/>
      <c r="AL656" s="282"/>
      <c r="AM656" s="282"/>
    </row>
    <row r="657">
      <c r="AC657" s="282"/>
      <c r="AD657" s="282"/>
      <c r="AE657" s="282"/>
      <c r="AF657" s="282"/>
      <c r="AG657" s="282"/>
      <c r="AH657" s="282"/>
      <c r="AI657" s="282"/>
      <c r="AJ657" s="282"/>
      <c r="AK657" s="282"/>
      <c r="AL657" s="282"/>
      <c r="AM657" s="282"/>
    </row>
    <row r="658">
      <c r="AC658" s="282"/>
      <c r="AD658" s="282"/>
      <c r="AE658" s="282"/>
      <c r="AF658" s="282"/>
      <c r="AG658" s="282"/>
      <c r="AH658" s="282"/>
      <c r="AI658" s="282"/>
      <c r="AJ658" s="282"/>
      <c r="AK658" s="282"/>
      <c r="AL658" s="282"/>
      <c r="AM658" s="282"/>
    </row>
    <row r="659">
      <c r="AC659" s="282"/>
      <c r="AD659" s="282"/>
      <c r="AE659" s="282"/>
      <c r="AF659" s="282"/>
      <c r="AG659" s="282"/>
      <c r="AH659" s="282"/>
      <c r="AI659" s="282"/>
      <c r="AJ659" s="282"/>
      <c r="AK659" s="282"/>
      <c r="AL659" s="282"/>
      <c r="AM659" s="282"/>
    </row>
    <row r="660">
      <c r="AC660" s="282"/>
      <c r="AD660" s="282"/>
      <c r="AE660" s="282"/>
      <c r="AF660" s="282"/>
      <c r="AG660" s="282"/>
      <c r="AH660" s="282"/>
      <c r="AI660" s="282"/>
      <c r="AJ660" s="282"/>
      <c r="AK660" s="282"/>
      <c r="AL660" s="282"/>
      <c r="AM660" s="282"/>
    </row>
    <row r="661">
      <c r="AC661" s="282"/>
      <c r="AD661" s="282"/>
      <c r="AE661" s="282"/>
      <c r="AF661" s="282"/>
      <c r="AG661" s="282"/>
      <c r="AH661" s="282"/>
      <c r="AI661" s="282"/>
      <c r="AJ661" s="282"/>
      <c r="AK661" s="282"/>
      <c r="AL661" s="282"/>
      <c r="AM661" s="282"/>
    </row>
    <row r="662">
      <c r="AC662" s="282"/>
      <c r="AD662" s="282"/>
      <c r="AE662" s="282"/>
      <c r="AF662" s="282"/>
      <c r="AG662" s="282"/>
      <c r="AH662" s="282"/>
      <c r="AI662" s="282"/>
      <c r="AJ662" s="282"/>
      <c r="AK662" s="282"/>
      <c r="AL662" s="282"/>
      <c r="AM662" s="282"/>
    </row>
    <row r="663">
      <c r="AC663" s="282"/>
      <c r="AD663" s="282"/>
      <c r="AE663" s="282"/>
      <c r="AF663" s="282"/>
      <c r="AG663" s="282"/>
      <c r="AH663" s="282"/>
      <c r="AI663" s="282"/>
      <c r="AJ663" s="282"/>
      <c r="AK663" s="282"/>
      <c r="AL663" s="282"/>
      <c r="AM663" s="282"/>
    </row>
    <row r="664">
      <c r="AC664" s="282"/>
      <c r="AD664" s="282"/>
      <c r="AE664" s="282"/>
      <c r="AF664" s="282"/>
      <c r="AG664" s="282"/>
      <c r="AH664" s="282"/>
      <c r="AI664" s="282"/>
      <c r="AJ664" s="282"/>
      <c r="AK664" s="282"/>
      <c r="AL664" s="282"/>
      <c r="AM664" s="282"/>
    </row>
    <row r="665">
      <c r="AC665" s="282"/>
      <c r="AD665" s="282"/>
      <c r="AE665" s="282"/>
      <c r="AF665" s="282"/>
      <c r="AG665" s="282"/>
      <c r="AH665" s="282"/>
      <c r="AI665" s="282"/>
      <c r="AJ665" s="282"/>
      <c r="AK665" s="282"/>
      <c r="AL665" s="282"/>
      <c r="AM665" s="282"/>
    </row>
    <row r="666">
      <c r="AC666" s="282"/>
      <c r="AD666" s="282"/>
      <c r="AE666" s="282"/>
      <c r="AF666" s="282"/>
      <c r="AG666" s="282"/>
      <c r="AH666" s="282"/>
      <c r="AI666" s="282"/>
      <c r="AJ666" s="282"/>
      <c r="AK666" s="282"/>
      <c r="AL666" s="282"/>
      <c r="AM666" s="282"/>
    </row>
    <row r="667">
      <c r="AC667" s="282"/>
      <c r="AD667" s="282"/>
      <c r="AE667" s="282"/>
      <c r="AF667" s="282"/>
      <c r="AG667" s="282"/>
      <c r="AH667" s="282"/>
      <c r="AI667" s="282"/>
      <c r="AJ667" s="282"/>
      <c r="AK667" s="282"/>
      <c r="AL667" s="282"/>
      <c r="AM667" s="282"/>
    </row>
    <row r="668">
      <c r="AC668" s="282"/>
      <c r="AD668" s="282"/>
      <c r="AE668" s="282"/>
      <c r="AF668" s="282"/>
      <c r="AG668" s="282"/>
      <c r="AH668" s="282"/>
      <c r="AI668" s="282"/>
      <c r="AJ668" s="282"/>
      <c r="AK668" s="282"/>
      <c r="AL668" s="282"/>
      <c r="AM668" s="282"/>
    </row>
    <row r="669">
      <c r="AC669" s="282"/>
      <c r="AD669" s="282"/>
      <c r="AE669" s="282"/>
      <c r="AF669" s="282"/>
      <c r="AG669" s="282"/>
      <c r="AH669" s="282"/>
      <c r="AI669" s="282"/>
      <c r="AJ669" s="282"/>
      <c r="AK669" s="282"/>
      <c r="AL669" s="282"/>
      <c r="AM669" s="282"/>
    </row>
    <row r="670">
      <c r="AC670" s="282"/>
      <c r="AD670" s="282"/>
      <c r="AE670" s="282"/>
      <c r="AF670" s="282"/>
      <c r="AG670" s="282"/>
      <c r="AH670" s="282"/>
      <c r="AI670" s="282"/>
      <c r="AJ670" s="282"/>
      <c r="AK670" s="282"/>
      <c r="AL670" s="282"/>
      <c r="AM670" s="282"/>
    </row>
    <row r="671">
      <c r="AC671" s="282"/>
      <c r="AD671" s="282"/>
      <c r="AE671" s="282"/>
      <c r="AF671" s="282"/>
      <c r="AG671" s="282"/>
      <c r="AH671" s="282"/>
      <c r="AI671" s="282"/>
      <c r="AJ671" s="282"/>
      <c r="AK671" s="282"/>
      <c r="AL671" s="282"/>
      <c r="AM671" s="282"/>
    </row>
    <row r="672">
      <c r="AC672" s="282"/>
      <c r="AD672" s="282"/>
      <c r="AE672" s="282"/>
      <c r="AF672" s="282"/>
      <c r="AG672" s="282"/>
      <c r="AH672" s="282"/>
      <c r="AI672" s="282"/>
      <c r="AJ672" s="282"/>
      <c r="AK672" s="282"/>
      <c r="AL672" s="282"/>
      <c r="AM672" s="282"/>
    </row>
    <row r="673">
      <c r="AC673" s="282"/>
      <c r="AD673" s="282"/>
      <c r="AE673" s="282"/>
      <c r="AF673" s="282"/>
      <c r="AG673" s="282"/>
      <c r="AH673" s="282"/>
      <c r="AI673" s="282"/>
      <c r="AJ673" s="282"/>
      <c r="AK673" s="282"/>
      <c r="AL673" s="282"/>
      <c r="AM673" s="282"/>
    </row>
    <row r="674">
      <c r="AC674" s="282"/>
      <c r="AD674" s="282"/>
      <c r="AE674" s="282"/>
      <c r="AF674" s="282"/>
      <c r="AG674" s="282"/>
      <c r="AH674" s="282"/>
      <c r="AI674" s="282"/>
      <c r="AJ674" s="282"/>
      <c r="AK674" s="282"/>
      <c r="AL674" s="282"/>
      <c r="AM674" s="282"/>
    </row>
    <row r="675">
      <c r="AC675" s="282"/>
      <c r="AD675" s="282"/>
      <c r="AE675" s="282"/>
      <c r="AF675" s="282"/>
      <c r="AG675" s="282"/>
      <c r="AH675" s="282"/>
      <c r="AI675" s="282"/>
      <c r="AJ675" s="282"/>
      <c r="AK675" s="282"/>
      <c r="AL675" s="282"/>
      <c r="AM675" s="282"/>
    </row>
    <row r="676">
      <c r="AC676" s="282"/>
      <c r="AD676" s="282"/>
      <c r="AE676" s="282"/>
      <c r="AF676" s="282"/>
      <c r="AG676" s="282"/>
      <c r="AH676" s="282"/>
      <c r="AI676" s="282"/>
      <c r="AJ676" s="282"/>
      <c r="AK676" s="282"/>
      <c r="AL676" s="282"/>
      <c r="AM676" s="282"/>
    </row>
    <row r="677">
      <c r="AC677" s="282"/>
      <c r="AD677" s="282"/>
      <c r="AE677" s="282"/>
      <c r="AF677" s="282"/>
      <c r="AG677" s="282"/>
      <c r="AH677" s="282"/>
      <c r="AI677" s="282"/>
      <c r="AJ677" s="282"/>
      <c r="AK677" s="282"/>
      <c r="AL677" s="282"/>
      <c r="AM677" s="282"/>
    </row>
    <row r="678">
      <c r="AC678" s="282"/>
      <c r="AD678" s="282"/>
      <c r="AE678" s="282"/>
      <c r="AF678" s="282"/>
      <c r="AG678" s="282"/>
      <c r="AH678" s="282"/>
      <c r="AI678" s="282"/>
      <c r="AJ678" s="282"/>
      <c r="AK678" s="282"/>
      <c r="AL678" s="282"/>
      <c r="AM678" s="282"/>
    </row>
    <row r="679">
      <c r="AC679" s="282"/>
      <c r="AD679" s="282"/>
      <c r="AE679" s="282"/>
      <c r="AF679" s="282"/>
      <c r="AG679" s="282"/>
      <c r="AH679" s="282"/>
      <c r="AI679" s="282"/>
      <c r="AJ679" s="282"/>
      <c r="AK679" s="282"/>
      <c r="AL679" s="282"/>
      <c r="AM679" s="282"/>
    </row>
    <row r="680">
      <c r="AC680" s="282"/>
      <c r="AD680" s="282"/>
      <c r="AE680" s="282"/>
      <c r="AF680" s="282"/>
      <c r="AG680" s="282"/>
      <c r="AH680" s="282"/>
      <c r="AI680" s="282"/>
      <c r="AJ680" s="282"/>
      <c r="AK680" s="282"/>
      <c r="AL680" s="282"/>
      <c r="AM680" s="282"/>
    </row>
    <row r="681">
      <c r="AC681" s="282"/>
      <c r="AD681" s="282"/>
      <c r="AE681" s="282"/>
      <c r="AF681" s="282"/>
      <c r="AG681" s="282"/>
      <c r="AH681" s="282"/>
      <c r="AI681" s="282"/>
      <c r="AJ681" s="282"/>
      <c r="AK681" s="282"/>
      <c r="AL681" s="282"/>
      <c r="AM681" s="282"/>
    </row>
    <row r="682">
      <c r="AC682" s="282"/>
      <c r="AD682" s="282"/>
      <c r="AE682" s="282"/>
      <c r="AF682" s="282"/>
      <c r="AG682" s="282"/>
      <c r="AH682" s="282"/>
      <c r="AI682" s="282"/>
      <c r="AJ682" s="282"/>
      <c r="AK682" s="282"/>
      <c r="AL682" s="282"/>
      <c r="AM682" s="282"/>
    </row>
    <row r="683">
      <c r="AC683" s="282"/>
      <c r="AD683" s="282"/>
      <c r="AE683" s="282"/>
      <c r="AF683" s="282"/>
      <c r="AG683" s="282"/>
      <c r="AH683" s="282"/>
      <c r="AI683" s="282"/>
      <c r="AJ683" s="282"/>
      <c r="AK683" s="282"/>
      <c r="AL683" s="282"/>
      <c r="AM683" s="282"/>
    </row>
    <row r="684">
      <c r="AC684" s="282"/>
      <c r="AD684" s="282"/>
      <c r="AE684" s="282"/>
      <c r="AF684" s="282"/>
      <c r="AG684" s="282"/>
      <c r="AH684" s="282"/>
      <c r="AI684" s="282"/>
      <c r="AJ684" s="282"/>
      <c r="AK684" s="282"/>
      <c r="AL684" s="282"/>
      <c r="AM684" s="282"/>
    </row>
    <row r="685">
      <c r="AC685" s="282"/>
      <c r="AD685" s="282"/>
      <c r="AE685" s="282"/>
      <c r="AF685" s="282"/>
      <c r="AG685" s="282"/>
      <c r="AH685" s="282"/>
      <c r="AI685" s="282"/>
      <c r="AJ685" s="282"/>
      <c r="AK685" s="282"/>
      <c r="AL685" s="282"/>
      <c r="AM685" s="282"/>
    </row>
    <row r="686">
      <c r="AC686" s="282"/>
      <c r="AD686" s="282"/>
      <c r="AE686" s="282"/>
      <c r="AF686" s="282"/>
      <c r="AG686" s="282"/>
      <c r="AH686" s="282"/>
      <c r="AI686" s="282"/>
      <c r="AJ686" s="282"/>
      <c r="AK686" s="282"/>
      <c r="AL686" s="282"/>
      <c r="AM686" s="282"/>
    </row>
    <row r="687">
      <c r="AC687" s="282"/>
      <c r="AD687" s="282"/>
      <c r="AE687" s="282"/>
      <c r="AF687" s="282"/>
      <c r="AG687" s="282"/>
      <c r="AH687" s="282"/>
      <c r="AI687" s="282"/>
      <c r="AJ687" s="282"/>
      <c r="AK687" s="282"/>
      <c r="AL687" s="282"/>
      <c r="AM687" s="282"/>
    </row>
    <row r="688">
      <c r="AC688" s="282"/>
      <c r="AD688" s="282"/>
      <c r="AE688" s="282"/>
      <c r="AF688" s="282"/>
      <c r="AG688" s="282"/>
      <c r="AH688" s="282"/>
      <c r="AI688" s="282"/>
      <c r="AJ688" s="282"/>
      <c r="AK688" s="282"/>
      <c r="AL688" s="282"/>
      <c r="AM688" s="282"/>
    </row>
    <row r="689">
      <c r="AC689" s="282"/>
      <c r="AD689" s="282"/>
      <c r="AE689" s="282"/>
      <c r="AF689" s="282"/>
      <c r="AG689" s="282"/>
      <c r="AH689" s="282"/>
      <c r="AI689" s="282"/>
      <c r="AJ689" s="282"/>
      <c r="AK689" s="282"/>
      <c r="AL689" s="282"/>
      <c r="AM689" s="282"/>
    </row>
    <row r="690">
      <c r="AC690" s="282"/>
      <c r="AD690" s="282"/>
      <c r="AE690" s="282"/>
      <c r="AF690" s="282"/>
      <c r="AG690" s="282"/>
      <c r="AH690" s="282"/>
      <c r="AI690" s="282"/>
      <c r="AJ690" s="282"/>
      <c r="AK690" s="282"/>
      <c r="AL690" s="282"/>
      <c r="AM690" s="282"/>
    </row>
    <row r="691">
      <c r="AC691" s="282"/>
      <c r="AD691" s="282"/>
      <c r="AE691" s="282"/>
      <c r="AF691" s="282"/>
      <c r="AG691" s="282"/>
      <c r="AH691" s="282"/>
      <c r="AI691" s="282"/>
      <c r="AJ691" s="282"/>
      <c r="AK691" s="282"/>
      <c r="AL691" s="282"/>
      <c r="AM691" s="282"/>
    </row>
    <row r="692">
      <c r="AC692" s="282"/>
      <c r="AD692" s="282"/>
      <c r="AE692" s="282"/>
      <c r="AF692" s="282"/>
      <c r="AG692" s="282"/>
      <c r="AH692" s="282"/>
      <c r="AI692" s="282"/>
      <c r="AJ692" s="282"/>
      <c r="AK692" s="282"/>
      <c r="AL692" s="282"/>
      <c r="AM692" s="282"/>
    </row>
    <row r="693">
      <c r="AC693" s="282"/>
      <c r="AD693" s="282"/>
      <c r="AE693" s="282"/>
      <c r="AF693" s="282"/>
      <c r="AG693" s="282"/>
      <c r="AH693" s="282"/>
      <c r="AI693" s="282"/>
      <c r="AJ693" s="282"/>
      <c r="AK693" s="282"/>
      <c r="AL693" s="282"/>
      <c r="AM693" s="282"/>
    </row>
    <row r="694">
      <c r="AC694" s="282"/>
      <c r="AD694" s="282"/>
      <c r="AE694" s="282"/>
      <c r="AF694" s="282"/>
      <c r="AG694" s="282"/>
      <c r="AH694" s="282"/>
      <c r="AI694" s="282"/>
      <c r="AJ694" s="282"/>
      <c r="AK694" s="282"/>
      <c r="AL694" s="282"/>
      <c r="AM694" s="282"/>
    </row>
    <row r="695">
      <c r="AC695" s="282"/>
      <c r="AD695" s="282"/>
      <c r="AE695" s="282"/>
      <c r="AF695" s="282"/>
      <c r="AG695" s="282"/>
      <c r="AH695" s="282"/>
      <c r="AI695" s="282"/>
      <c r="AJ695" s="282"/>
      <c r="AK695" s="282"/>
      <c r="AL695" s="282"/>
      <c r="AM695" s="282"/>
    </row>
    <row r="696">
      <c r="AC696" s="282"/>
      <c r="AD696" s="282"/>
      <c r="AE696" s="282"/>
      <c r="AF696" s="282"/>
      <c r="AG696" s="282"/>
      <c r="AH696" s="282"/>
      <c r="AI696" s="282"/>
      <c r="AJ696" s="282"/>
      <c r="AK696" s="282"/>
      <c r="AL696" s="282"/>
      <c r="AM696" s="282"/>
    </row>
    <row r="697">
      <c r="AC697" s="282"/>
      <c r="AD697" s="282"/>
      <c r="AE697" s="282"/>
      <c r="AF697" s="282"/>
      <c r="AG697" s="282"/>
      <c r="AH697" s="282"/>
      <c r="AI697" s="282"/>
      <c r="AJ697" s="282"/>
      <c r="AK697" s="282"/>
      <c r="AL697" s="282"/>
      <c r="AM697" s="282"/>
    </row>
    <row r="698">
      <c r="AC698" s="282"/>
      <c r="AD698" s="282"/>
      <c r="AE698" s="282"/>
      <c r="AF698" s="282"/>
      <c r="AG698" s="282"/>
      <c r="AH698" s="282"/>
      <c r="AI698" s="282"/>
      <c r="AJ698" s="282"/>
      <c r="AK698" s="282"/>
      <c r="AL698" s="282"/>
      <c r="AM698" s="282"/>
    </row>
    <row r="699">
      <c r="AC699" s="282"/>
      <c r="AD699" s="282"/>
      <c r="AE699" s="282"/>
      <c r="AF699" s="282"/>
      <c r="AG699" s="282"/>
      <c r="AH699" s="282"/>
      <c r="AI699" s="282"/>
      <c r="AJ699" s="282"/>
      <c r="AK699" s="282"/>
      <c r="AL699" s="282"/>
      <c r="AM699" s="282"/>
    </row>
    <row r="700">
      <c r="AC700" s="282"/>
      <c r="AD700" s="282"/>
      <c r="AE700" s="282"/>
      <c r="AF700" s="282"/>
      <c r="AG700" s="282"/>
      <c r="AH700" s="282"/>
      <c r="AI700" s="282"/>
      <c r="AJ700" s="282"/>
      <c r="AK700" s="282"/>
      <c r="AL700" s="282"/>
      <c r="AM700" s="282"/>
    </row>
    <row r="701">
      <c r="AC701" s="282"/>
      <c r="AD701" s="282"/>
      <c r="AE701" s="282"/>
      <c r="AF701" s="282"/>
      <c r="AG701" s="282"/>
      <c r="AH701" s="282"/>
      <c r="AI701" s="282"/>
      <c r="AJ701" s="282"/>
      <c r="AK701" s="282"/>
      <c r="AL701" s="282"/>
      <c r="AM701" s="282"/>
    </row>
    <row r="702">
      <c r="AC702" s="282"/>
      <c r="AD702" s="282"/>
      <c r="AE702" s="282"/>
      <c r="AF702" s="282"/>
      <c r="AG702" s="282"/>
      <c r="AH702" s="282"/>
      <c r="AI702" s="282"/>
      <c r="AJ702" s="282"/>
      <c r="AK702" s="282"/>
      <c r="AL702" s="282"/>
      <c r="AM702" s="282"/>
    </row>
    <row r="703">
      <c r="AC703" s="282"/>
      <c r="AD703" s="282"/>
      <c r="AE703" s="282"/>
      <c r="AF703" s="282"/>
      <c r="AG703" s="282"/>
      <c r="AH703" s="282"/>
      <c r="AI703" s="282"/>
      <c r="AJ703" s="282"/>
      <c r="AK703" s="282"/>
      <c r="AL703" s="282"/>
      <c r="AM703" s="282"/>
    </row>
    <row r="704">
      <c r="AC704" s="282"/>
      <c r="AD704" s="282"/>
      <c r="AE704" s="282"/>
      <c r="AF704" s="282"/>
      <c r="AG704" s="282"/>
      <c r="AH704" s="282"/>
      <c r="AI704" s="282"/>
      <c r="AJ704" s="282"/>
      <c r="AK704" s="282"/>
      <c r="AL704" s="282"/>
      <c r="AM704" s="282"/>
    </row>
    <row r="705">
      <c r="AC705" s="282"/>
      <c r="AD705" s="282"/>
      <c r="AE705" s="282"/>
      <c r="AF705" s="282"/>
      <c r="AG705" s="282"/>
      <c r="AH705" s="282"/>
      <c r="AI705" s="282"/>
      <c r="AJ705" s="282"/>
      <c r="AK705" s="282"/>
      <c r="AL705" s="282"/>
      <c r="AM705" s="282"/>
    </row>
    <row r="706">
      <c r="AC706" s="282"/>
      <c r="AD706" s="282"/>
      <c r="AE706" s="282"/>
      <c r="AF706" s="282"/>
      <c r="AG706" s="282"/>
      <c r="AH706" s="282"/>
      <c r="AI706" s="282"/>
      <c r="AJ706" s="282"/>
      <c r="AK706" s="282"/>
      <c r="AL706" s="282"/>
      <c r="AM706" s="282"/>
    </row>
    <row r="707">
      <c r="AC707" s="282"/>
      <c r="AD707" s="282"/>
      <c r="AE707" s="282"/>
      <c r="AF707" s="282"/>
      <c r="AG707" s="282"/>
      <c r="AH707" s="282"/>
      <c r="AI707" s="282"/>
      <c r="AJ707" s="282"/>
      <c r="AK707" s="282"/>
      <c r="AL707" s="282"/>
      <c r="AM707" s="282"/>
    </row>
    <row r="708">
      <c r="AC708" s="282"/>
      <c r="AD708" s="282"/>
      <c r="AE708" s="282"/>
      <c r="AF708" s="282"/>
      <c r="AG708" s="282"/>
      <c r="AH708" s="282"/>
      <c r="AI708" s="282"/>
      <c r="AJ708" s="282"/>
      <c r="AK708" s="282"/>
      <c r="AL708" s="282"/>
      <c r="AM708" s="282"/>
    </row>
    <row r="709">
      <c r="AC709" s="282"/>
      <c r="AD709" s="282"/>
      <c r="AE709" s="282"/>
      <c r="AF709" s="282"/>
      <c r="AG709" s="282"/>
      <c r="AH709" s="282"/>
      <c r="AI709" s="282"/>
      <c r="AJ709" s="282"/>
      <c r="AK709" s="282"/>
      <c r="AL709" s="282"/>
      <c r="AM709" s="282"/>
    </row>
    <row r="710">
      <c r="AC710" s="282"/>
      <c r="AD710" s="282"/>
      <c r="AE710" s="282"/>
      <c r="AF710" s="282"/>
      <c r="AG710" s="282"/>
      <c r="AH710" s="282"/>
      <c r="AI710" s="282"/>
      <c r="AJ710" s="282"/>
      <c r="AK710" s="282"/>
      <c r="AL710" s="282"/>
      <c r="AM710" s="282"/>
    </row>
    <row r="711">
      <c r="AC711" s="282"/>
      <c r="AD711" s="282"/>
      <c r="AE711" s="282"/>
      <c r="AF711" s="282"/>
      <c r="AG711" s="282"/>
      <c r="AH711" s="282"/>
      <c r="AI711" s="282"/>
      <c r="AJ711" s="282"/>
      <c r="AK711" s="282"/>
      <c r="AL711" s="282"/>
      <c r="AM711" s="282"/>
    </row>
    <row r="712">
      <c r="AC712" s="282"/>
      <c r="AD712" s="282"/>
      <c r="AE712" s="282"/>
      <c r="AF712" s="282"/>
      <c r="AG712" s="282"/>
      <c r="AH712" s="282"/>
      <c r="AI712" s="282"/>
      <c r="AJ712" s="282"/>
      <c r="AK712" s="282"/>
      <c r="AL712" s="282"/>
      <c r="AM712" s="282"/>
    </row>
    <row r="713">
      <c r="AC713" s="282"/>
      <c r="AD713" s="282"/>
      <c r="AE713" s="282"/>
      <c r="AF713" s="282"/>
      <c r="AG713" s="282"/>
      <c r="AH713" s="282"/>
      <c r="AI713" s="282"/>
      <c r="AJ713" s="282"/>
      <c r="AK713" s="282"/>
      <c r="AL713" s="282"/>
      <c r="AM713" s="282"/>
    </row>
    <row r="714">
      <c r="AC714" s="282"/>
      <c r="AD714" s="282"/>
      <c r="AE714" s="282"/>
      <c r="AF714" s="282"/>
      <c r="AG714" s="282"/>
      <c r="AH714" s="282"/>
      <c r="AI714" s="282"/>
      <c r="AJ714" s="282"/>
      <c r="AK714" s="282"/>
      <c r="AL714" s="282"/>
      <c r="AM714" s="282"/>
    </row>
    <row r="715">
      <c r="AC715" s="282"/>
      <c r="AD715" s="282"/>
      <c r="AE715" s="282"/>
      <c r="AF715" s="282"/>
      <c r="AG715" s="282"/>
      <c r="AH715" s="282"/>
      <c r="AI715" s="282"/>
      <c r="AJ715" s="282"/>
      <c r="AK715" s="282"/>
      <c r="AL715" s="282"/>
      <c r="AM715" s="282"/>
    </row>
    <row r="716">
      <c r="AC716" s="282"/>
      <c r="AD716" s="282"/>
      <c r="AE716" s="282"/>
      <c r="AF716" s="282"/>
      <c r="AG716" s="282"/>
      <c r="AH716" s="282"/>
      <c r="AI716" s="282"/>
      <c r="AJ716" s="282"/>
      <c r="AK716" s="282"/>
      <c r="AL716" s="282"/>
      <c r="AM716" s="282"/>
    </row>
    <row r="717">
      <c r="AC717" s="282"/>
      <c r="AD717" s="282"/>
      <c r="AE717" s="282"/>
      <c r="AF717" s="282"/>
      <c r="AG717" s="282"/>
      <c r="AH717" s="282"/>
      <c r="AI717" s="282"/>
      <c r="AJ717" s="282"/>
      <c r="AK717" s="282"/>
      <c r="AL717" s="282"/>
      <c r="AM717" s="282"/>
    </row>
    <row r="718">
      <c r="AC718" s="282"/>
      <c r="AD718" s="282"/>
      <c r="AE718" s="282"/>
      <c r="AF718" s="282"/>
      <c r="AG718" s="282"/>
      <c r="AH718" s="282"/>
      <c r="AI718" s="282"/>
      <c r="AJ718" s="282"/>
      <c r="AK718" s="282"/>
      <c r="AL718" s="282"/>
      <c r="AM718" s="282"/>
    </row>
    <row r="719">
      <c r="AC719" s="282"/>
      <c r="AD719" s="282"/>
      <c r="AE719" s="282"/>
      <c r="AF719" s="282"/>
      <c r="AG719" s="282"/>
      <c r="AH719" s="282"/>
      <c r="AI719" s="282"/>
      <c r="AJ719" s="282"/>
      <c r="AK719" s="282"/>
      <c r="AL719" s="282"/>
      <c r="AM719" s="282"/>
    </row>
    <row r="720">
      <c r="AC720" s="282"/>
      <c r="AD720" s="282"/>
      <c r="AE720" s="282"/>
      <c r="AF720" s="282"/>
      <c r="AG720" s="282"/>
      <c r="AH720" s="282"/>
      <c r="AI720" s="282"/>
      <c r="AJ720" s="282"/>
      <c r="AK720" s="282"/>
      <c r="AL720" s="282"/>
      <c r="AM720" s="282"/>
    </row>
    <row r="721">
      <c r="AC721" s="282"/>
      <c r="AD721" s="282"/>
      <c r="AE721" s="282"/>
      <c r="AF721" s="282"/>
      <c r="AG721" s="282"/>
      <c r="AH721" s="282"/>
      <c r="AI721" s="282"/>
      <c r="AJ721" s="282"/>
      <c r="AK721" s="282"/>
      <c r="AL721" s="282"/>
      <c r="AM721" s="282"/>
    </row>
    <row r="722">
      <c r="AC722" s="282"/>
      <c r="AD722" s="282"/>
      <c r="AE722" s="282"/>
      <c r="AF722" s="282"/>
      <c r="AG722" s="282"/>
      <c r="AH722" s="282"/>
      <c r="AI722" s="282"/>
      <c r="AJ722" s="282"/>
      <c r="AK722" s="282"/>
      <c r="AL722" s="282"/>
      <c r="AM722" s="282"/>
    </row>
    <row r="723">
      <c r="AC723" s="282"/>
      <c r="AD723" s="282"/>
      <c r="AE723" s="282"/>
      <c r="AF723" s="282"/>
      <c r="AG723" s="282"/>
      <c r="AH723" s="282"/>
      <c r="AI723" s="282"/>
      <c r="AJ723" s="282"/>
      <c r="AK723" s="282"/>
      <c r="AL723" s="282"/>
      <c r="AM723" s="282"/>
    </row>
    <row r="724">
      <c r="AC724" s="282"/>
      <c r="AD724" s="282"/>
      <c r="AE724" s="282"/>
      <c r="AF724" s="282"/>
      <c r="AG724" s="282"/>
      <c r="AH724" s="282"/>
      <c r="AI724" s="282"/>
      <c r="AJ724" s="282"/>
      <c r="AK724" s="282"/>
      <c r="AL724" s="282"/>
      <c r="AM724" s="282"/>
    </row>
    <row r="725">
      <c r="AC725" s="282"/>
      <c r="AD725" s="282"/>
      <c r="AE725" s="282"/>
      <c r="AF725" s="282"/>
      <c r="AG725" s="282"/>
      <c r="AH725" s="282"/>
      <c r="AI725" s="282"/>
      <c r="AJ725" s="282"/>
      <c r="AK725" s="282"/>
      <c r="AL725" s="282"/>
      <c r="AM725" s="282"/>
    </row>
    <row r="726">
      <c r="AC726" s="282"/>
      <c r="AD726" s="282"/>
      <c r="AE726" s="282"/>
      <c r="AF726" s="282"/>
      <c r="AG726" s="282"/>
      <c r="AH726" s="282"/>
      <c r="AI726" s="282"/>
      <c r="AJ726" s="282"/>
      <c r="AK726" s="282"/>
      <c r="AL726" s="282"/>
      <c r="AM726" s="282"/>
    </row>
    <row r="727">
      <c r="AC727" s="282"/>
      <c r="AD727" s="282"/>
      <c r="AE727" s="282"/>
      <c r="AF727" s="282"/>
      <c r="AG727" s="282"/>
      <c r="AH727" s="282"/>
      <c r="AI727" s="282"/>
      <c r="AJ727" s="282"/>
      <c r="AK727" s="282"/>
      <c r="AL727" s="282"/>
      <c r="AM727" s="282"/>
    </row>
    <row r="728">
      <c r="AC728" s="282"/>
      <c r="AD728" s="282"/>
      <c r="AE728" s="282"/>
      <c r="AF728" s="282"/>
      <c r="AG728" s="282"/>
      <c r="AH728" s="282"/>
      <c r="AI728" s="282"/>
      <c r="AJ728" s="282"/>
      <c r="AK728" s="282"/>
      <c r="AL728" s="282"/>
      <c r="AM728" s="282"/>
    </row>
    <row r="729">
      <c r="AC729" s="282"/>
      <c r="AD729" s="282"/>
      <c r="AE729" s="282"/>
      <c r="AF729" s="282"/>
      <c r="AG729" s="282"/>
      <c r="AH729" s="282"/>
      <c r="AI729" s="282"/>
      <c r="AJ729" s="282"/>
      <c r="AK729" s="282"/>
      <c r="AL729" s="282"/>
      <c r="AM729" s="282"/>
    </row>
    <row r="730">
      <c r="AC730" s="282"/>
      <c r="AD730" s="282"/>
      <c r="AE730" s="282"/>
      <c r="AF730" s="282"/>
      <c r="AG730" s="282"/>
      <c r="AH730" s="282"/>
      <c r="AI730" s="282"/>
      <c r="AJ730" s="282"/>
      <c r="AK730" s="282"/>
      <c r="AL730" s="282"/>
      <c r="AM730" s="282"/>
    </row>
    <row r="731">
      <c r="AC731" s="282"/>
      <c r="AD731" s="282"/>
      <c r="AE731" s="282"/>
      <c r="AF731" s="282"/>
      <c r="AG731" s="282"/>
      <c r="AH731" s="282"/>
      <c r="AI731" s="282"/>
      <c r="AJ731" s="282"/>
      <c r="AK731" s="282"/>
      <c r="AL731" s="282"/>
      <c r="AM731" s="282"/>
    </row>
    <row r="732">
      <c r="AC732" s="282"/>
      <c r="AD732" s="282"/>
      <c r="AE732" s="282"/>
      <c r="AF732" s="282"/>
      <c r="AG732" s="282"/>
      <c r="AH732" s="282"/>
      <c r="AI732" s="282"/>
      <c r="AJ732" s="282"/>
      <c r="AK732" s="282"/>
      <c r="AL732" s="282"/>
      <c r="AM732" s="282"/>
    </row>
    <row r="733">
      <c r="AC733" s="282"/>
      <c r="AD733" s="282"/>
      <c r="AE733" s="282"/>
      <c r="AF733" s="282"/>
      <c r="AG733" s="282"/>
      <c r="AH733" s="282"/>
      <c r="AI733" s="282"/>
      <c r="AJ733" s="282"/>
      <c r="AK733" s="282"/>
      <c r="AL733" s="282"/>
      <c r="AM733" s="282"/>
    </row>
    <row r="734">
      <c r="AC734" s="282"/>
      <c r="AD734" s="282"/>
      <c r="AE734" s="282"/>
      <c r="AF734" s="282"/>
      <c r="AG734" s="282"/>
      <c r="AH734" s="282"/>
      <c r="AI734" s="282"/>
      <c r="AJ734" s="282"/>
      <c r="AK734" s="282"/>
      <c r="AL734" s="282"/>
      <c r="AM734" s="282"/>
    </row>
    <row r="735">
      <c r="AC735" s="282"/>
      <c r="AD735" s="282"/>
      <c r="AE735" s="282"/>
      <c r="AF735" s="282"/>
      <c r="AG735" s="282"/>
      <c r="AH735" s="282"/>
      <c r="AI735" s="282"/>
      <c r="AJ735" s="282"/>
      <c r="AK735" s="282"/>
      <c r="AL735" s="282"/>
      <c r="AM735" s="282"/>
    </row>
    <row r="736">
      <c r="AC736" s="282"/>
      <c r="AD736" s="282"/>
      <c r="AE736" s="282"/>
      <c r="AF736" s="282"/>
      <c r="AG736" s="282"/>
      <c r="AH736" s="282"/>
      <c r="AI736" s="282"/>
      <c r="AJ736" s="282"/>
      <c r="AK736" s="282"/>
      <c r="AL736" s="282"/>
      <c r="AM736" s="282"/>
    </row>
    <row r="737">
      <c r="AC737" s="282"/>
      <c r="AD737" s="282"/>
      <c r="AE737" s="282"/>
      <c r="AF737" s="282"/>
      <c r="AG737" s="282"/>
      <c r="AH737" s="282"/>
      <c r="AI737" s="282"/>
      <c r="AJ737" s="282"/>
      <c r="AK737" s="282"/>
      <c r="AL737" s="282"/>
      <c r="AM737" s="282"/>
    </row>
    <row r="738">
      <c r="AC738" s="282"/>
      <c r="AD738" s="282"/>
      <c r="AE738" s="282"/>
      <c r="AF738" s="282"/>
      <c r="AG738" s="282"/>
      <c r="AH738" s="282"/>
      <c r="AI738" s="282"/>
      <c r="AJ738" s="282"/>
      <c r="AK738" s="282"/>
      <c r="AL738" s="282"/>
      <c r="AM738" s="282"/>
    </row>
    <row r="739">
      <c r="AC739" s="282"/>
      <c r="AD739" s="282"/>
      <c r="AE739" s="282"/>
      <c r="AF739" s="282"/>
      <c r="AG739" s="282"/>
      <c r="AH739" s="282"/>
      <c r="AI739" s="282"/>
      <c r="AJ739" s="282"/>
      <c r="AK739" s="282"/>
      <c r="AL739" s="282"/>
      <c r="AM739" s="282"/>
    </row>
    <row r="740">
      <c r="AC740" s="282"/>
      <c r="AD740" s="282"/>
      <c r="AE740" s="282"/>
      <c r="AF740" s="282"/>
      <c r="AG740" s="282"/>
      <c r="AH740" s="282"/>
      <c r="AI740" s="282"/>
      <c r="AJ740" s="282"/>
      <c r="AK740" s="282"/>
      <c r="AL740" s="282"/>
      <c r="AM740" s="282"/>
    </row>
    <row r="741">
      <c r="AC741" s="282"/>
      <c r="AD741" s="282"/>
      <c r="AE741" s="282"/>
      <c r="AF741" s="282"/>
      <c r="AG741" s="282"/>
      <c r="AH741" s="282"/>
      <c r="AI741" s="282"/>
      <c r="AJ741" s="282"/>
      <c r="AK741" s="282"/>
      <c r="AL741" s="282"/>
      <c r="AM741" s="282"/>
    </row>
    <row r="742">
      <c r="AC742" s="282"/>
      <c r="AD742" s="282"/>
      <c r="AE742" s="282"/>
      <c r="AF742" s="282"/>
      <c r="AG742" s="282"/>
      <c r="AH742" s="282"/>
      <c r="AI742" s="282"/>
      <c r="AJ742" s="282"/>
      <c r="AK742" s="282"/>
      <c r="AL742" s="282"/>
      <c r="AM742" s="282"/>
    </row>
    <row r="743">
      <c r="AC743" s="282"/>
      <c r="AD743" s="282"/>
      <c r="AE743" s="282"/>
      <c r="AF743" s="282"/>
      <c r="AG743" s="282"/>
      <c r="AH743" s="282"/>
      <c r="AI743" s="282"/>
      <c r="AJ743" s="282"/>
      <c r="AK743" s="282"/>
      <c r="AL743" s="282"/>
      <c r="AM743" s="282"/>
    </row>
    <row r="744">
      <c r="AC744" s="282"/>
      <c r="AD744" s="282"/>
      <c r="AE744" s="282"/>
      <c r="AF744" s="282"/>
      <c r="AG744" s="282"/>
      <c r="AH744" s="282"/>
      <c r="AI744" s="282"/>
      <c r="AJ744" s="282"/>
      <c r="AK744" s="282"/>
      <c r="AL744" s="282"/>
      <c r="AM744" s="282"/>
    </row>
    <row r="745">
      <c r="AC745" s="282"/>
      <c r="AD745" s="282"/>
      <c r="AE745" s="282"/>
      <c r="AF745" s="282"/>
      <c r="AG745" s="282"/>
      <c r="AH745" s="282"/>
      <c r="AI745" s="282"/>
      <c r="AJ745" s="282"/>
      <c r="AK745" s="282"/>
      <c r="AL745" s="282"/>
      <c r="AM745" s="282"/>
    </row>
    <row r="746">
      <c r="AC746" s="282"/>
      <c r="AD746" s="282"/>
      <c r="AE746" s="282"/>
      <c r="AF746" s="282"/>
      <c r="AG746" s="282"/>
      <c r="AH746" s="282"/>
      <c r="AI746" s="282"/>
      <c r="AJ746" s="282"/>
      <c r="AK746" s="282"/>
      <c r="AL746" s="282"/>
      <c r="AM746" s="282"/>
    </row>
    <row r="747">
      <c r="AC747" s="282"/>
      <c r="AD747" s="282"/>
      <c r="AE747" s="282"/>
      <c r="AF747" s="282"/>
      <c r="AG747" s="282"/>
      <c r="AH747" s="282"/>
      <c r="AI747" s="282"/>
      <c r="AJ747" s="282"/>
      <c r="AK747" s="282"/>
      <c r="AL747" s="282"/>
      <c r="AM747" s="282"/>
    </row>
    <row r="748">
      <c r="AC748" s="282"/>
      <c r="AD748" s="282"/>
      <c r="AE748" s="282"/>
      <c r="AF748" s="282"/>
      <c r="AG748" s="282"/>
      <c r="AH748" s="282"/>
      <c r="AI748" s="282"/>
      <c r="AJ748" s="282"/>
      <c r="AK748" s="282"/>
      <c r="AL748" s="282"/>
      <c r="AM748" s="282"/>
    </row>
    <row r="749">
      <c r="AC749" s="282"/>
      <c r="AD749" s="282"/>
      <c r="AE749" s="282"/>
      <c r="AF749" s="282"/>
      <c r="AG749" s="282"/>
      <c r="AH749" s="282"/>
      <c r="AI749" s="282"/>
      <c r="AJ749" s="282"/>
      <c r="AK749" s="282"/>
      <c r="AL749" s="282"/>
      <c r="AM749" s="282"/>
    </row>
    <row r="750">
      <c r="AC750" s="282"/>
      <c r="AD750" s="282"/>
      <c r="AE750" s="282"/>
      <c r="AF750" s="282"/>
      <c r="AG750" s="282"/>
      <c r="AH750" s="282"/>
      <c r="AI750" s="282"/>
      <c r="AJ750" s="282"/>
      <c r="AK750" s="282"/>
      <c r="AL750" s="282"/>
      <c r="AM750" s="282"/>
    </row>
    <row r="751">
      <c r="AC751" s="282"/>
      <c r="AD751" s="282"/>
      <c r="AE751" s="282"/>
      <c r="AF751" s="282"/>
      <c r="AG751" s="282"/>
      <c r="AH751" s="282"/>
      <c r="AI751" s="282"/>
      <c r="AJ751" s="282"/>
      <c r="AK751" s="282"/>
      <c r="AL751" s="282"/>
      <c r="AM751" s="282"/>
    </row>
    <row r="752">
      <c r="AC752" s="282"/>
      <c r="AD752" s="282"/>
      <c r="AE752" s="282"/>
      <c r="AF752" s="282"/>
      <c r="AG752" s="282"/>
      <c r="AH752" s="282"/>
      <c r="AI752" s="282"/>
      <c r="AJ752" s="282"/>
      <c r="AK752" s="282"/>
      <c r="AL752" s="282"/>
      <c r="AM752" s="282"/>
    </row>
    <row r="753">
      <c r="AC753" s="282"/>
      <c r="AD753" s="282"/>
      <c r="AE753" s="282"/>
      <c r="AF753" s="282"/>
      <c r="AG753" s="282"/>
      <c r="AH753" s="282"/>
      <c r="AI753" s="282"/>
      <c r="AJ753" s="282"/>
      <c r="AK753" s="282"/>
      <c r="AL753" s="282"/>
      <c r="AM753" s="282"/>
    </row>
    <row r="754">
      <c r="AC754" s="282"/>
      <c r="AD754" s="282"/>
      <c r="AE754" s="282"/>
      <c r="AF754" s="282"/>
      <c r="AG754" s="282"/>
      <c r="AH754" s="282"/>
      <c r="AI754" s="282"/>
      <c r="AJ754" s="282"/>
      <c r="AK754" s="282"/>
      <c r="AL754" s="282"/>
      <c r="AM754" s="282"/>
    </row>
    <row r="755">
      <c r="AC755" s="282"/>
      <c r="AD755" s="282"/>
      <c r="AE755" s="282"/>
      <c r="AF755" s="282"/>
      <c r="AG755" s="282"/>
      <c r="AH755" s="282"/>
      <c r="AI755" s="282"/>
      <c r="AJ755" s="282"/>
      <c r="AK755" s="282"/>
      <c r="AL755" s="282"/>
      <c r="AM755" s="282"/>
    </row>
    <row r="756">
      <c r="AC756" s="282"/>
      <c r="AD756" s="282"/>
      <c r="AE756" s="282"/>
      <c r="AF756" s="282"/>
      <c r="AG756" s="282"/>
      <c r="AH756" s="282"/>
      <c r="AI756" s="282"/>
      <c r="AJ756" s="282"/>
      <c r="AK756" s="282"/>
      <c r="AL756" s="282"/>
      <c r="AM756" s="282"/>
    </row>
    <row r="757">
      <c r="AC757" s="282"/>
      <c r="AD757" s="282"/>
      <c r="AE757" s="282"/>
      <c r="AF757" s="282"/>
      <c r="AG757" s="282"/>
      <c r="AH757" s="282"/>
      <c r="AI757" s="282"/>
      <c r="AJ757" s="282"/>
      <c r="AK757" s="282"/>
      <c r="AL757" s="282"/>
      <c r="AM757" s="282"/>
    </row>
    <row r="758">
      <c r="AC758" s="282"/>
      <c r="AD758" s="282"/>
      <c r="AE758" s="282"/>
      <c r="AF758" s="282"/>
      <c r="AG758" s="282"/>
      <c r="AH758" s="282"/>
      <c r="AI758" s="282"/>
      <c r="AJ758" s="282"/>
      <c r="AK758" s="282"/>
      <c r="AL758" s="282"/>
      <c r="AM758" s="282"/>
    </row>
    <row r="759">
      <c r="AC759" s="282"/>
      <c r="AD759" s="282"/>
      <c r="AE759" s="282"/>
      <c r="AF759" s="282"/>
      <c r="AG759" s="282"/>
      <c r="AH759" s="282"/>
      <c r="AI759" s="282"/>
      <c r="AJ759" s="282"/>
      <c r="AK759" s="282"/>
      <c r="AL759" s="282"/>
      <c r="AM759" s="282"/>
    </row>
    <row r="760">
      <c r="AC760" s="282"/>
      <c r="AD760" s="282"/>
      <c r="AE760" s="282"/>
      <c r="AF760" s="282"/>
      <c r="AG760" s="282"/>
      <c r="AH760" s="282"/>
      <c r="AI760" s="282"/>
      <c r="AJ760" s="282"/>
      <c r="AK760" s="282"/>
      <c r="AL760" s="282"/>
      <c r="AM760" s="282"/>
    </row>
    <row r="761">
      <c r="AC761" s="282"/>
      <c r="AD761" s="282"/>
      <c r="AE761" s="282"/>
      <c r="AF761" s="282"/>
      <c r="AG761" s="282"/>
      <c r="AH761" s="282"/>
      <c r="AI761" s="282"/>
      <c r="AJ761" s="282"/>
      <c r="AK761" s="282"/>
      <c r="AL761" s="282"/>
      <c r="AM761" s="282"/>
    </row>
    <row r="762">
      <c r="AC762" s="282"/>
      <c r="AD762" s="282"/>
      <c r="AE762" s="282"/>
      <c r="AF762" s="282"/>
      <c r="AG762" s="282"/>
      <c r="AH762" s="282"/>
      <c r="AI762" s="282"/>
      <c r="AJ762" s="282"/>
      <c r="AK762" s="282"/>
      <c r="AL762" s="282"/>
      <c r="AM762" s="282"/>
    </row>
    <row r="763">
      <c r="AC763" s="282"/>
      <c r="AD763" s="282"/>
      <c r="AE763" s="282"/>
      <c r="AF763" s="282"/>
      <c r="AG763" s="282"/>
      <c r="AH763" s="282"/>
      <c r="AI763" s="282"/>
      <c r="AJ763" s="282"/>
      <c r="AK763" s="282"/>
      <c r="AL763" s="282"/>
      <c r="AM763" s="282"/>
    </row>
    <row r="764">
      <c r="AC764" s="282"/>
      <c r="AD764" s="282"/>
      <c r="AE764" s="282"/>
      <c r="AF764" s="282"/>
      <c r="AG764" s="282"/>
      <c r="AH764" s="282"/>
      <c r="AI764" s="282"/>
      <c r="AJ764" s="282"/>
      <c r="AK764" s="282"/>
      <c r="AL764" s="282"/>
      <c r="AM764" s="282"/>
    </row>
    <row r="765">
      <c r="AC765" s="282"/>
      <c r="AD765" s="282"/>
      <c r="AE765" s="282"/>
      <c r="AF765" s="282"/>
      <c r="AG765" s="282"/>
      <c r="AH765" s="282"/>
      <c r="AI765" s="282"/>
      <c r="AJ765" s="282"/>
      <c r="AK765" s="282"/>
      <c r="AL765" s="282"/>
      <c r="AM765" s="282"/>
    </row>
    <row r="766">
      <c r="AC766" s="282"/>
      <c r="AD766" s="282"/>
      <c r="AE766" s="282"/>
      <c r="AF766" s="282"/>
      <c r="AG766" s="282"/>
      <c r="AH766" s="282"/>
      <c r="AI766" s="282"/>
      <c r="AJ766" s="282"/>
      <c r="AK766" s="282"/>
      <c r="AL766" s="282"/>
      <c r="AM766" s="282"/>
    </row>
    <row r="767">
      <c r="AC767" s="282"/>
      <c r="AD767" s="282"/>
      <c r="AE767" s="282"/>
      <c r="AF767" s="282"/>
      <c r="AG767" s="282"/>
      <c r="AH767" s="282"/>
      <c r="AI767" s="282"/>
      <c r="AJ767" s="282"/>
      <c r="AK767" s="282"/>
      <c r="AL767" s="282"/>
      <c r="AM767" s="282"/>
    </row>
    <row r="768">
      <c r="AC768" s="282"/>
      <c r="AD768" s="282"/>
      <c r="AE768" s="282"/>
      <c r="AF768" s="282"/>
      <c r="AG768" s="282"/>
      <c r="AH768" s="282"/>
      <c r="AI768" s="282"/>
      <c r="AJ768" s="282"/>
      <c r="AK768" s="282"/>
      <c r="AL768" s="282"/>
      <c r="AM768" s="282"/>
    </row>
    <row r="769">
      <c r="AC769" s="282"/>
      <c r="AD769" s="282"/>
      <c r="AE769" s="282"/>
      <c r="AF769" s="282"/>
      <c r="AG769" s="282"/>
      <c r="AH769" s="282"/>
      <c r="AI769" s="282"/>
      <c r="AJ769" s="282"/>
      <c r="AK769" s="282"/>
      <c r="AL769" s="282"/>
      <c r="AM769" s="282"/>
    </row>
    <row r="770">
      <c r="AC770" s="282"/>
      <c r="AD770" s="282"/>
      <c r="AE770" s="282"/>
      <c r="AF770" s="282"/>
      <c r="AG770" s="282"/>
      <c r="AH770" s="282"/>
      <c r="AI770" s="282"/>
      <c r="AJ770" s="282"/>
      <c r="AK770" s="282"/>
      <c r="AL770" s="282"/>
      <c r="AM770" s="282"/>
    </row>
    <row r="771">
      <c r="AC771" s="282"/>
      <c r="AD771" s="282"/>
      <c r="AE771" s="282"/>
      <c r="AF771" s="282"/>
      <c r="AG771" s="282"/>
      <c r="AH771" s="282"/>
      <c r="AI771" s="282"/>
      <c r="AJ771" s="282"/>
      <c r="AK771" s="282"/>
      <c r="AL771" s="282"/>
      <c r="AM771" s="282"/>
    </row>
    <row r="772">
      <c r="AC772" s="282"/>
      <c r="AD772" s="282"/>
      <c r="AE772" s="282"/>
      <c r="AF772" s="282"/>
      <c r="AG772" s="282"/>
      <c r="AH772" s="282"/>
      <c r="AI772" s="282"/>
      <c r="AJ772" s="282"/>
      <c r="AK772" s="282"/>
      <c r="AL772" s="282"/>
      <c r="AM772" s="282"/>
    </row>
    <row r="773">
      <c r="AC773" s="282"/>
      <c r="AD773" s="282"/>
      <c r="AE773" s="282"/>
      <c r="AF773" s="282"/>
      <c r="AG773" s="282"/>
      <c r="AH773" s="282"/>
      <c r="AI773" s="282"/>
      <c r="AJ773" s="282"/>
      <c r="AK773" s="282"/>
      <c r="AL773" s="282"/>
      <c r="AM773" s="282"/>
    </row>
    <row r="774">
      <c r="AC774" s="282"/>
      <c r="AD774" s="282"/>
      <c r="AE774" s="282"/>
      <c r="AF774" s="282"/>
      <c r="AG774" s="282"/>
      <c r="AH774" s="282"/>
      <c r="AI774" s="282"/>
      <c r="AJ774" s="282"/>
      <c r="AK774" s="282"/>
      <c r="AL774" s="282"/>
      <c r="AM774" s="282"/>
    </row>
    <row r="775">
      <c r="AC775" s="282"/>
      <c r="AD775" s="282"/>
      <c r="AE775" s="282"/>
      <c r="AF775" s="282"/>
      <c r="AG775" s="282"/>
      <c r="AH775" s="282"/>
      <c r="AI775" s="282"/>
      <c r="AJ775" s="282"/>
      <c r="AK775" s="282"/>
      <c r="AL775" s="282"/>
      <c r="AM775" s="282"/>
    </row>
    <row r="776">
      <c r="AC776" s="282"/>
      <c r="AD776" s="282"/>
      <c r="AE776" s="282"/>
      <c r="AF776" s="282"/>
      <c r="AG776" s="282"/>
      <c r="AH776" s="282"/>
      <c r="AI776" s="282"/>
      <c r="AJ776" s="282"/>
      <c r="AK776" s="282"/>
      <c r="AL776" s="282"/>
      <c r="AM776" s="282"/>
    </row>
    <row r="777">
      <c r="AC777" s="282"/>
      <c r="AD777" s="282"/>
      <c r="AE777" s="282"/>
      <c r="AF777" s="282"/>
      <c r="AG777" s="282"/>
      <c r="AH777" s="282"/>
      <c r="AI777" s="282"/>
      <c r="AJ777" s="282"/>
      <c r="AK777" s="282"/>
      <c r="AL777" s="282"/>
      <c r="AM777" s="282"/>
    </row>
    <row r="778">
      <c r="AC778" s="282"/>
      <c r="AD778" s="282"/>
      <c r="AE778" s="282"/>
      <c r="AF778" s="282"/>
      <c r="AG778" s="282"/>
      <c r="AH778" s="282"/>
      <c r="AI778" s="282"/>
      <c r="AJ778" s="282"/>
      <c r="AK778" s="282"/>
      <c r="AL778" s="282"/>
      <c r="AM778" s="282"/>
    </row>
    <row r="779">
      <c r="AC779" s="282"/>
      <c r="AD779" s="282"/>
      <c r="AE779" s="282"/>
      <c r="AF779" s="282"/>
      <c r="AG779" s="282"/>
      <c r="AH779" s="282"/>
      <c r="AI779" s="282"/>
      <c r="AJ779" s="282"/>
      <c r="AK779" s="282"/>
      <c r="AL779" s="282"/>
      <c r="AM779" s="282"/>
    </row>
    <row r="780">
      <c r="AC780" s="282"/>
      <c r="AD780" s="282"/>
      <c r="AE780" s="282"/>
      <c r="AF780" s="282"/>
      <c r="AG780" s="282"/>
      <c r="AH780" s="282"/>
      <c r="AI780" s="282"/>
      <c r="AJ780" s="282"/>
      <c r="AK780" s="282"/>
      <c r="AL780" s="282"/>
      <c r="AM780" s="282"/>
    </row>
    <row r="781">
      <c r="AC781" s="282"/>
      <c r="AD781" s="282"/>
      <c r="AE781" s="282"/>
      <c r="AF781" s="282"/>
      <c r="AG781" s="282"/>
      <c r="AH781" s="282"/>
      <c r="AI781" s="282"/>
      <c r="AJ781" s="282"/>
      <c r="AK781" s="282"/>
      <c r="AL781" s="282"/>
      <c r="AM781" s="282"/>
    </row>
    <row r="782">
      <c r="AC782" s="282"/>
      <c r="AD782" s="282"/>
      <c r="AE782" s="282"/>
      <c r="AF782" s="282"/>
      <c r="AG782" s="282"/>
      <c r="AH782" s="282"/>
      <c r="AI782" s="282"/>
      <c r="AJ782" s="282"/>
      <c r="AK782" s="282"/>
      <c r="AL782" s="282"/>
      <c r="AM782" s="282"/>
    </row>
    <row r="783">
      <c r="AC783" s="282"/>
      <c r="AD783" s="282"/>
      <c r="AE783" s="282"/>
      <c r="AF783" s="282"/>
      <c r="AG783" s="282"/>
      <c r="AH783" s="282"/>
      <c r="AI783" s="282"/>
      <c r="AJ783" s="282"/>
      <c r="AK783" s="282"/>
      <c r="AL783" s="282"/>
      <c r="AM783" s="282"/>
    </row>
    <row r="784">
      <c r="AC784" s="282"/>
      <c r="AD784" s="282"/>
      <c r="AE784" s="282"/>
      <c r="AF784" s="282"/>
      <c r="AG784" s="282"/>
      <c r="AH784" s="282"/>
      <c r="AI784" s="282"/>
      <c r="AJ784" s="282"/>
      <c r="AK784" s="282"/>
      <c r="AL784" s="282"/>
      <c r="AM784" s="282"/>
    </row>
    <row r="785">
      <c r="AC785" s="282"/>
      <c r="AD785" s="282"/>
      <c r="AE785" s="282"/>
      <c r="AF785" s="282"/>
      <c r="AG785" s="282"/>
      <c r="AH785" s="282"/>
      <c r="AI785" s="282"/>
      <c r="AJ785" s="282"/>
      <c r="AK785" s="282"/>
      <c r="AL785" s="282"/>
      <c r="AM785" s="282"/>
    </row>
    <row r="786">
      <c r="AC786" s="282"/>
      <c r="AD786" s="282"/>
      <c r="AE786" s="282"/>
      <c r="AF786" s="282"/>
      <c r="AG786" s="282"/>
      <c r="AH786" s="282"/>
      <c r="AI786" s="282"/>
      <c r="AJ786" s="282"/>
      <c r="AK786" s="282"/>
      <c r="AL786" s="282"/>
      <c r="AM786" s="282"/>
    </row>
    <row r="787">
      <c r="AC787" s="282"/>
      <c r="AD787" s="282"/>
      <c r="AE787" s="282"/>
      <c r="AF787" s="282"/>
      <c r="AG787" s="282"/>
      <c r="AH787" s="282"/>
      <c r="AI787" s="282"/>
      <c r="AJ787" s="282"/>
      <c r="AK787" s="282"/>
      <c r="AL787" s="282"/>
      <c r="AM787" s="282"/>
    </row>
    <row r="788">
      <c r="AC788" s="282"/>
      <c r="AD788" s="282"/>
      <c r="AE788" s="282"/>
      <c r="AF788" s="282"/>
      <c r="AG788" s="282"/>
      <c r="AH788" s="282"/>
      <c r="AI788" s="282"/>
      <c r="AJ788" s="282"/>
      <c r="AK788" s="282"/>
      <c r="AL788" s="282"/>
      <c r="AM788" s="282"/>
    </row>
    <row r="789">
      <c r="AC789" s="282"/>
      <c r="AD789" s="282"/>
      <c r="AE789" s="282"/>
      <c r="AF789" s="282"/>
      <c r="AG789" s="282"/>
      <c r="AH789" s="282"/>
      <c r="AI789" s="282"/>
      <c r="AJ789" s="282"/>
      <c r="AK789" s="282"/>
      <c r="AL789" s="282"/>
      <c r="AM789" s="282"/>
    </row>
    <row r="790">
      <c r="AC790" s="282"/>
      <c r="AD790" s="282"/>
      <c r="AE790" s="282"/>
      <c r="AF790" s="282"/>
      <c r="AG790" s="282"/>
      <c r="AH790" s="282"/>
      <c r="AI790" s="282"/>
      <c r="AJ790" s="282"/>
      <c r="AK790" s="282"/>
      <c r="AL790" s="282"/>
      <c r="AM790" s="282"/>
    </row>
    <row r="791">
      <c r="AC791" s="282"/>
      <c r="AD791" s="282"/>
      <c r="AE791" s="282"/>
      <c r="AF791" s="282"/>
      <c r="AG791" s="282"/>
      <c r="AH791" s="282"/>
      <c r="AI791" s="282"/>
      <c r="AJ791" s="282"/>
      <c r="AK791" s="282"/>
      <c r="AL791" s="282"/>
      <c r="AM791" s="282"/>
    </row>
    <row r="792">
      <c r="AC792" s="282"/>
      <c r="AD792" s="282"/>
      <c r="AE792" s="282"/>
      <c r="AF792" s="282"/>
      <c r="AG792" s="282"/>
      <c r="AH792" s="282"/>
      <c r="AI792" s="282"/>
      <c r="AJ792" s="282"/>
      <c r="AK792" s="282"/>
      <c r="AL792" s="282"/>
      <c r="AM792" s="282"/>
    </row>
    <row r="793">
      <c r="AC793" s="282"/>
      <c r="AD793" s="282"/>
      <c r="AE793" s="282"/>
      <c r="AF793" s="282"/>
      <c r="AG793" s="282"/>
      <c r="AH793" s="282"/>
      <c r="AI793" s="282"/>
      <c r="AJ793" s="282"/>
      <c r="AK793" s="282"/>
      <c r="AL793" s="282"/>
      <c r="AM793" s="282"/>
    </row>
    <row r="794">
      <c r="AC794" s="282"/>
      <c r="AD794" s="282"/>
      <c r="AE794" s="282"/>
      <c r="AF794" s="282"/>
      <c r="AG794" s="282"/>
      <c r="AH794" s="282"/>
      <c r="AI794" s="282"/>
      <c r="AJ794" s="282"/>
      <c r="AK794" s="282"/>
      <c r="AL794" s="282"/>
      <c r="AM794" s="282"/>
    </row>
    <row r="795">
      <c r="AC795" s="282"/>
      <c r="AD795" s="282"/>
      <c r="AE795" s="282"/>
      <c r="AF795" s="282"/>
      <c r="AG795" s="282"/>
      <c r="AH795" s="282"/>
      <c r="AI795" s="282"/>
      <c r="AJ795" s="282"/>
      <c r="AK795" s="282"/>
      <c r="AL795" s="282"/>
      <c r="AM795" s="282"/>
    </row>
    <row r="796">
      <c r="AC796" s="282"/>
      <c r="AD796" s="282"/>
      <c r="AE796" s="282"/>
      <c r="AF796" s="282"/>
      <c r="AG796" s="282"/>
      <c r="AH796" s="282"/>
      <c r="AI796" s="282"/>
      <c r="AJ796" s="282"/>
      <c r="AK796" s="282"/>
      <c r="AL796" s="282"/>
      <c r="AM796" s="282"/>
    </row>
    <row r="797">
      <c r="AC797" s="282"/>
      <c r="AD797" s="282"/>
      <c r="AE797" s="282"/>
      <c r="AF797" s="282"/>
      <c r="AG797" s="282"/>
      <c r="AH797" s="282"/>
      <c r="AI797" s="282"/>
      <c r="AJ797" s="282"/>
      <c r="AK797" s="282"/>
      <c r="AL797" s="282"/>
      <c r="AM797" s="282"/>
    </row>
    <row r="798">
      <c r="AC798" s="282"/>
      <c r="AD798" s="282"/>
      <c r="AE798" s="282"/>
      <c r="AF798" s="282"/>
      <c r="AG798" s="282"/>
      <c r="AH798" s="282"/>
      <c r="AI798" s="282"/>
      <c r="AJ798" s="282"/>
      <c r="AK798" s="282"/>
      <c r="AL798" s="282"/>
      <c r="AM798" s="282"/>
    </row>
    <row r="799">
      <c r="AC799" s="282"/>
      <c r="AD799" s="282"/>
      <c r="AE799" s="282"/>
      <c r="AF799" s="282"/>
      <c r="AG799" s="282"/>
      <c r="AH799" s="282"/>
      <c r="AI799" s="282"/>
      <c r="AJ799" s="282"/>
      <c r="AK799" s="282"/>
      <c r="AL799" s="282"/>
      <c r="AM799" s="282"/>
    </row>
    <row r="800">
      <c r="AC800" s="282"/>
      <c r="AD800" s="282"/>
      <c r="AE800" s="282"/>
      <c r="AF800" s="282"/>
      <c r="AG800" s="282"/>
      <c r="AH800" s="282"/>
      <c r="AI800" s="282"/>
      <c r="AJ800" s="282"/>
      <c r="AK800" s="282"/>
      <c r="AL800" s="282"/>
      <c r="AM800" s="282"/>
    </row>
    <row r="801">
      <c r="AC801" s="282"/>
      <c r="AD801" s="282"/>
      <c r="AE801" s="282"/>
      <c r="AF801" s="282"/>
      <c r="AG801" s="282"/>
      <c r="AH801" s="282"/>
      <c r="AI801" s="282"/>
      <c r="AJ801" s="282"/>
      <c r="AK801" s="282"/>
      <c r="AL801" s="282"/>
      <c r="AM801" s="282"/>
    </row>
    <row r="802">
      <c r="AC802" s="282"/>
      <c r="AD802" s="282"/>
      <c r="AE802" s="282"/>
      <c r="AF802" s="282"/>
      <c r="AG802" s="282"/>
      <c r="AH802" s="282"/>
      <c r="AI802" s="282"/>
      <c r="AJ802" s="282"/>
      <c r="AK802" s="282"/>
      <c r="AL802" s="282"/>
      <c r="AM802" s="282"/>
    </row>
    <row r="803">
      <c r="AC803" s="282"/>
      <c r="AD803" s="282"/>
      <c r="AE803" s="282"/>
      <c r="AF803" s="282"/>
      <c r="AG803" s="282"/>
      <c r="AH803" s="282"/>
      <c r="AI803" s="282"/>
      <c r="AJ803" s="282"/>
      <c r="AK803" s="282"/>
      <c r="AL803" s="282"/>
      <c r="AM803" s="282"/>
    </row>
    <row r="804">
      <c r="AC804" s="282"/>
      <c r="AD804" s="282"/>
      <c r="AE804" s="282"/>
      <c r="AF804" s="282"/>
      <c r="AG804" s="282"/>
      <c r="AH804" s="282"/>
      <c r="AI804" s="282"/>
      <c r="AJ804" s="282"/>
      <c r="AK804" s="282"/>
      <c r="AL804" s="282"/>
      <c r="AM804" s="282"/>
    </row>
    <row r="805">
      <c r="AC805" s="282"/>
      <c r="AD805" s="282"/>
      <c r="AE805" s="282"/>
      <c r="AF805" s="282"/>
      <c r="AG805" s="282"/>
      <c r="AH805" s="282"/>
      <c r="AI805" s="282"/>
      <c r="AJ805" s="282"/>
      <c r="AK805" s="282"/>
      <c r="AL805" s="282"/>
      <c r="AM805" s="282"/>
    </row>
    <row r="806">
      <c r="AC806" s="282"/>
      <c r="AD806" s="282"/>
      <c r="AE806" s="282"/>
      <c r="AF806" s="282"/>
      <c r="AG806" s="282"/>
      <c r="AH806" s="282"/>
      <c r="AI806" s="282"/>
      <c r="AJ806" s="282"/>
      <c r="AK806" s="282"/>
      <c r="AL806" s="282"/>
      <c r="AM806" s="282"/>
    </row>
    <row r="807">
      <c r="AC807" s="282"/>
      <c r="AD807" s="282"/>
      <c r="AE807" s="282"/>
      <c r="AF807" s="282"/>
      <c r="AG807" s="282"/>
      <c r="AH807" s="282"/>
      <c r="AI807" s="282"/>
      <c r="AJ807" s="282"/>
      <c r="AK807" s="282"/>
      <c r="AL807" s="282"/>
      <c r="AM807" s="282"/>
    </row>
    <row r="808">
      <c r="AC808" s="282"/>
      <c r="AD808" s="282"/>
      <c r="AE808" s="282"/>
      <c r="AF808" s="282"/>
      <c r="AG808" s="282"/>
      <c r="AH808" s="282"/>
      <c r="AI808" s="282"/>
      <c r="AJ808" s="282"/>
      <c r="AK808" s="282"/>
      <c r="AL808" s="282"/>
      <c r="AM808" s="282"/>
    </row>
    <row r="809">
      <c r="AC809" s="282"/>
      <c r="AD809" s="282"/>
      <c r="AE809" s="282"/>
      <c r="AF809" s="282"/>
      <c r="AG809" s="282"/>
      <c r="AH809" s="282"/>
      <c r="AI809" s="282"/>
      <c r="AJ809" s="282"/>
      <c r="AK809" s="282"/>
      <c r="AL809" s="282"/>
      <c r="AM809" s="282"/>
    </row>
    <row r="810">
      <c r="AC810" s="282"/>
      <c r="AD810" s="282"/>
      <c r="AE810" s="282"/>
      <c r="AF810" s="282"/>
      <c r="AG810" s="282"/>
      <c r="AH810" s="282"/>
      <c r="AI810" s="282"/>
      <c r="AJ810" s="282"/>
      <c r="AK810" s="282"/>
      <c r="AL810" s="282"/>
      <c r="AM810" s="282"/>
    </row>
    <row r="811">
      <c r="AC811" s="282"/>
      <c r="AD811" s="282"/>
      <c r="AE811" s="282"/>
      <c r="AF811" s="282"/>
      <c r="AG811" s="282"/>
      <c r="AH811" s="282"/>
      <c r="AI811" s="282"/>
      <c r="AJ811" s="282"/>
      <c r="AK811" s="282"/>
      <c r="AL811" s="282"/>
      <c r="AM811" s="282"/>
    </row>
    <row r="812">
      <c r="AC812" s="282"/>
      <c r="AD812" s="282"/>
      <c r="AE812" s="282"/>
      <c r="AF812" s="282"/>
      <c r="AG812" s="282"/>
      <c r="AH812" s="282"/>
      <c r="AI812" s="282"/>
      <c r="AJ812" s="282"/>
      <c r="AK812" s="282"/>
      <c r="AL812" s="282"/>
      <c r="AM812" s="282"/>
    </row>
    <row r="813">
      <c r="AC813" s="282"/>
      <c r="AD813" s="282"/>
      <c r="AE813" s="282"/>
      <c r="AF813" s="282"/>
      <c r="AG813" s="282"/>
      <c r="AH813" s="282"/>
      <c r="AI813" s="282"/>
      <c r="AJ813" s="282"/>
      <c r="AK813" s="282"/>
      <c r="AL813" s="282"/>
      <c r="AM813" s="282"/>
    </row>
    <row r="814">
      <c r="AC814" s="282"/>
      <c r="AD814" s="282"/>
      <c r="AE814" s="282"/>
      <c r="AF814" s="282"/>
      <c r="AG814" s="282"/>
      <c r="AH814" s="282"/>
      <c r="AI814" s="282"/>
      <c r="AJ814" s="282"/>
      <c r="AK814" s="282"/>
      <c r="AL814" s="282"/>
      <c r="AM814" s="282"/>
    </row>
    <row r="815">
      <c r="AC815" s="282"/>
      <c r="AD815" s="282"/>
      <c r="AE815" s="282"/>
      <c r="AF815" s="282"/>
      <c r="AG815" s="282"/>
      <c r="AH815" s="282"/>
      <c r="AI815" s="282"/>
      <c r="AJ815" s="282"/>
      <c r="AK815" s="282"/>
      <c r="AL815" s="282"/>
      <c r="AM815" s="282"/>
    </row>
    <row r="816">
      <c r="AC816" s="282"/>
      <c r="AD816" s="282"/>
      <c r="AE816" s="282"/>
      <c r="AF816" s="282"/>
      <c r="AG816" s="282"/>
      <c r="AH816" s="282"/>
      <c r="AI816" s="282"/>
      <c r="AJ816" s="282"/>
      <c r="AK816" s="282"/>
      <c r="AL816" s="282"/>
      <c r="AM816" s="282"/>
    </row>
    <row r="817">
      <c r="AC817" s="282"/>
      <c r="AD817" s="282"/>
      <c r="AE817" s="282"/>
      <c r="AF817" s="282"/>
      <c r="AG817" s="282"/>
      <c r="AH817" s="282"/>
      <c r="AI817" s="282"/>
      <c r="AJ817" s="282"/>
      <c r="AK817" s="282"/>
      <c r="AL817" s="282"/>
      <c r="AM817" s="282"/>
    </row>
    <row r="818">
      <c r="AC818" s="282"/>
      <c r="AD818" s="282"/>
      <c r="AE818" s="282"/>
      <c r="AF818" s="282"/>
      <c r="AG818" s="282"/>
      <c r="AH818" s="282"/>
      <c r="AI818" s="282"/>
      <c r="AJ818" s="282"/>
      <c r="AK818" s="282"/>
      <c r="AL818" s="282"/>
      <c r="AM818" s="282"/>
    </row>
    <row r="819">
      <c r="AC819" s="282"/>
      <c r="AD819" s="282"/>
      <c r="AE819" s="282"/>
      <c r="AF819" s="282"/>
      <c r="AG819" s="282"/>
      <c r="AH819" s="282"/>
      <c r="AI819" s="282"/>
      <c r="AJ819" s="282"/>
      <c r="AK819" s="282"/>
      <c r="AL819" s="282"/>
      <c r="AM819" s="282"/>
    </row>
    <row r="820">
      <c r="AC820" s="282"/>
      <c r="AD820" s="282"/>
      <c r="AE820" s="282"/>
      <c r="AF820" s="282"/>
      <c r="AG820" s="282"/>
      <c r="AH820" s="282"/>
      <c r="AI820" s="282"/>
      <c r="AJ820" s="282"/>
      <c r="AK820" s="282"/>
      <c r="AL820" s="282"/>
      <c r="AM820" s="282"/>
    </row>
    <row r="821">
      <c r="AC821" s="282"/>
      <c r="AD821" s="282"/>
      <c r="AE821" s="282"/>
      <c r="AF821" s="282"/>
      <c r="AG821" s="282"/>
      <c r="AH821" s="282"/>
      <c r="AI821" s="282"/>
      <c r="AJ821" s="282"/>
      <c r="AK821" s="282"/>
      <c r="AL821" s="282"/>
      <c r="AM821" s="282"/>
    </row>
    <row r="822">
      <c r="AC822" s="282"/>
      <c r="AD822" s="282"/>
      <c r="AE822" s="282"/>
      <c r="AF822" s="282"/>
      <c r="AG822" s="282"/>
      <c r="AH822" s="282"/>
      <c r="AI822" s="282"/>
      <c r="AJ822" s="282"/>
      <c r="AK822" s="282"/>
      <c r="AL822" s="282"/>
      <c r="AM822" s="282"/>
    </row>
    <row r="823">
      <c r="AC823" s="282"/>
      <c r="AD823" s="282"/>
      <c r="AE823" s="282"/>
      <c r="AF823" s="282"/>
      <c r="AG823" s="282"/>
      <c r="AH823" s="282"/>
      <c r="AI823" s="282"/>
      <c r="AJ823" s="282"/>
      <c r="AK823" s="282"/>
      <c r="AL823" s="282"/>
      <c r="AM823" s="282"/>
    </row>
    <row r="824">
      <c r="AC824" s="282"/>
      <c r="AD824" s="282"/>
      <c r="AE824" s="282"/>
      <c r="AF824" s="282"/>
      <c r="AG824" s="282"/>
      <c r="AH824" s="282"/>
      <c r="AI824" s="282"/>
      <c r="AJ824" s="282"/>
      <c r="AK824" s="282"/>
      <c r="AL824" s="282"/>
      <c r="AM824" s="282"/>
    </row>
    <row r="825">
      <c r="AC825" s="282"/>
      <c r="AD825" s="282"/>
      <c r="AE825" s="282"/>
      <c r="AF825" s="282"/>
      <c r="AG825" s="282"/>
      <c r="AH825" s="282"/>
      <c r="AI825" s="282"/>
      <c r="AJ825" s="282"/>
      <c r="AK825" s="282"/>
      <c r="AL825" s="282"/>
      <c r="AM825" s="282"/>
    </row>
    <row r="826">
      <c r="AC826" s="282"/>
      <c r="AD826" s="282"/>
      <c r="AE826" s="282"/>
      <c r="AF826" s="282"/>
      <c r="AG826" s="282"/>
      <c r="AH826" s="282"/>
      <c r="AI826" s="282"/>
      <c r="AJ826" s="282"/>
      <c r="AK826" s="282"/>
      <c r="AL826" s="282"/>
      <c r="AM826" s="282"/>
    </row>
    <row r="827">
      <c r="AC827" s="282"/>
      <c r="AD827" s="282"/>
      <c r="AE827" s="282"/>
      <c r="AF827" s="282"/>
      <c r="AG827" s="282"/>
      <c r="AH827" s="282"/>
      <c r="AI827" s="282"/>
      <c r="AJ827" s="282"/>
      <c r="AK827" s="282"/>
      <c r="AL827" s="282"/>
      <c r="AM827" s="282"/>
    </row>
    <row r="828">
      <c r="AC828" s="282"/>
      <c r="AD828" s="282"/>
      <c r="AE828" s="282"/>
      <c r="AF828" s="282"/>
      <c r="AG828" s="282"/>
      <c r="AH828" s="282"/>
      <c r="AI828" s="282"/>
      <c r="AJ828" s="282"/>
      <c r="AK828" s="282"/>
      <c r="AL828" s="282"/>
      <c r="AM828" s="282"/>
    </row>
    <row r="829">
      <c r="AC829" s="282"/>
      <c r="AD829" s="282"/>
      <c r="AE829" s="282"/>
      <c r="AF829" s="282"/>
      <c r="AG829" s="282"/>
      <c r="AH829" s="282"/>
      <c r="AI829" s="282"/>
      <c r="AJ829" s="282"/>
      <c r="AK829" s="282"/>
      <c r="AL829" s="282"/>
      <c r="AM829" s="282"/>
    </row>
    <row r="830">
      <c r="AC830" s="282"/>
      <c r="AD830" s="282"/>
      <c r="AE830" s="282"/>
      <c r="AF830" s="282"/>
      <c r="AG830" s="282"/>
      <c r="AH830" s="282"/>
      <c r="AI830" s="282"/>
      <c r="AJ830" s="282"/>
      <c r="AK830" s="282"/>
      <c r="AL830" s="282"/>
      <c r="AM830" s="282"/>
    </row>
    <row r="831">
      <c r="AC831" s="282"/>
      <c r="AD831" s="282"/>
      <c r="AE831" s="282"/>
      <c r="AF831" s="282"/>
      <c r="AG831" s="282"/>
      <c r="AH831" s="282"/>
      <c r="AI831" s="282"/>
      <c r="AJ831" s="282"/>
      <c r="AK831" s="282"/>
      <c r="AL831" s="282"/>
      <c r="AM831" s="282"/>
    </row>
    <row r="832">
      <c r="AC832" s="282"/>
      <c r="AD832" s="282"/>
      <c r="AE832" s="282"/>
      <c r="AF832" s="282"/>
      <c r="AG832" s="282"/>
      <c r="AH832" s="282"/>
      <c r="AI832" s="282"/>
      <c r="AJ832" s="282"/>
      <c r="AK832" s="282"/>
      <c r="AL832" s="282"/>
      <c r="AM832" s="282"/>
    </row>
    <row r="833">
      <c r="AC833" s="282"/>
      <c r="AD833" s="282"/>
      <c r="AE833" s="282"/>
      <c r="AF833" s="282"/>
      <c r="AG833" s="282"/>
      <c r="AH833" s="282"/>
      <c r="AI833" s="282"/>
      <c r="AJ833" s="282"/>
      <c r="AK833" s="282"/>
      <c r="AL833" s="282"/>
      <c r="AM833" s="282"/>
    </row>
    <row r="834">
      <c r="AC834" s="282"/>
      <c r="AD834" s="282"/>
      <c r="AE834" s="282"/>
      <c r="AF834" s="282"/>
      <c r="AG834" s="282"/>
      <c r="AH834" s="282"/>
      <c r="AI834" s="282"/>
      <c r="AJ834" s="282"/>
      <c r="AK834" s="282"/>
      <c r="AL834" s="282"/>
      <c r="AM834" s="282"/>
    </row>
    <row r="835">
      <c r="AC835" s="282"/>
      <c r="AD835" s="282"/>
      <c r="AE835" s="282"/>
      <c r="AF835" s="282"/>
      <c r="AG835" s="282"/>
      <c r="AH835" s="282"/>
      <c r="AI835" s="282"/>
      <c r="AJ835" s="282"/>
      <c r="AK835" s="282"/>
      <c r="AL835" s="282"/>
      <c r="AM835" s="282"/>
    </row>
    <row r="836">
      <c r="AC836" s="282"/>
      <c r="AD836" s="282"/>
      <c r="AE836" s="282"/>
      <c r="AF836" s="282"/>
      <c r="AG836" s="282"/>
      <c r="AH836" s="282"/>
      <c r="AI836" s="282"/>
      <c r="AJ836" s="282"/>
      <c r="AK836" s="282"/>
      <c r="AL836" s="282"/>
      <c r="AM836" s="282"/>
    </row>
    <row r="837">
      <c r="AC837" s="282"/>
      <c r="AD837" s="282"/>
      <c r="AE837" s="282"/>
      <c r="AF837" s="282"/>
      <c r="AG837" s="282"/>
      <c r="AH837" s="282"/>
      <c r="AI837" s="282"/>
      <c r="AJ837" s="282"/>
      <c r="AK837" s="282"/>
      <c r="AL837" s="282"/>
      <c r="AM837" s="282"/>
    </row>
    <row r="838">
      <c r="AC838" s="282"/>
      <c r="AD838" s="282"/>
      <c r="AE838" s="282"/>
      <c r="AF838" s="282"/>
      <c r="AG838" s="282"/>
      <c r="AH838" s="282"/>
      <c r="AI838" s="282"/>
      <c r="AJ838" s="282"/>
      <c r="AK838" s="282"/>
      <c r="AL838" s="282"/>
      <c r="AM838" s="282"/>
    </row>
    <row r="839">
      <c r="AC839" s="282"/>
      <c r="AD839" s="282"/>
      <c r="AE839" s="282"/>
      <c r="AF839" s="282"/>
      <c r="AG839" s="282"/>
      <c r="AH839" s="282"/>
      <c r="AI839" s="282"/>
      <c r="AJ839" s="282"/>
      <c r="AK839" s="282"/>
      <c r="AL839" s="282"/>
      <c r="AM839" s="282"/>
    </row>
    <row r="840">
      <c r="AC840" s="282"/>
      <c r="AD840" s="282"/>
      <c r="AE840" s="282"/>
      <c r="AF840" s="282"/>
      <c r="AG840" s="282"/>
      <c r="AH840" s="282"/>
      <c r="AI840" s="282"/>
      <c r="AJ840" s="282"/>
      <c r="AK840" s="282"/>
      <c r="AL840" s="282"/>
      <c r="AM840" s="282"/>
    </row>
    <row r="841">
      <c r="AC841" s="282"/>
      <c r="AD841" s="282"/>
      <c r="AE841" s="282"/>
      <c r="AF841" s="282"/>
      <c r="AG841" s="282"/>
      <c r="AH841" s="282"/>
      <c r="AI841" s="282"/>
      <c r="AJ841" s="282"/>
      <c r="AK841" s="282"/>
      <c r="AL841" s="282"/>
      <c r="AM841" s="282"/>
    </row>
    <row r="842">
      <c r="AC842" s="282"/>
      <c r="AD842" s="282"/>
      <c r="AE842" s="282"/>
      <c r="AF842" s="282"/>
      <c r="AG842" s="282"/>
      <c r="AH842" s="282"/>
      <c r="AI842" s="282"/>
      <c r="AJ842" s="282"/>
      <c r="AK842" s="282"/>
      <c r="AL842" s="282"/>
      <c r="AM842" s="282"/>
    </row>
    <row r="843">
      <c r="AC843" s="282"/>
      <c r="AD843" s="282"/>
      <c r="AE843" s="282"/>
      <c r="AF843" s="282"/>
      <c r="AG843" s="282"/>
      <c r="AH843" s="282"/>
      <c r="AI843" s="282"/>
      <c r="AJ843" s="282"/>
      <c r="AK843" s="282"/>
      <c r="AL843" s="282"/>
      <c r="AM843" s="282"/>
    </row>
    <row r="844">
      <c r="AC844" s="282"/>
      <c r="AD844" s="282"/>
      <c r="AE844" s="282"/>
      <c r="AF844" s="282"/>
      <c r="AG844" s="282"/>
      <c r="AH844" s="282"/>
      <c r="AI844" s="282"/>
      <c r="AJ844" s="282"/>
      <c r="AK844" s="282"/>
      <c r="AL844" s="282"/>
      <c r="AM844" s="282"/>
    </row>
    <row r="845">
      <c r="AC845" s="282"/>
      <c r="AD845" s="282"/>
      <c r="AE845" s="282"/>
      <c r="AF845" s="282"/>
      <c r="AG845" s="282"/>
      <c r="AH845" s="282"/>
      <c r="AI845" s="282"/>
      <c r="AJ845" s="282"/>
      <c r="AK845" s="282"/>
      <c r="AL845" s="282"/>
      <c r="AM845" s="282"/>
    </row>
    <row r="846">
      <c r="AC846" s="282"/>
      <c r="AD846" s="282"/>
      <c r="AE846" s="282"/>
      <c r="AF846" s="282"/>
      <c r="AG846" s="282"/>
      <c r="AH846" s="282"/>
      <c r="AI846" s="282"/>
      <c r="AJ846" s="282"/>
      <c r="AK846" s="282"/>
      <c r="AL846" s="282"/>
      <c r="AM846" s="282"/>
    </row>
    <row r="847">
      <c r="AC847" s="282"/>
      <c r="AD847" s="282"/>
      <c r="AE847" s="282"/>
      <c r="AF847" s="282"/>
      <c r="AG847" s="282"/>
      <c r="AH847" s="282"/>
      <c r="AI847" s="282"/>
      <c r="AJ847" s="282"/>
      <c r="AK847" s="282"/>
      <c r="AL847" s="282"/>
      <c r="AM847" s="282"/>
    </row>
    <row r="848">
      <c r="AC848" s="282"/>
      <c r="AD848" s="282"/>
      <c r="AE848" s="282"/>
      <c r="AF848" s="282"/>
      <c r="AG848" s="282"/>
      <c r="AH848" s="282"/>
      <c r="AI848" s="282"/>
      <c r="AJ848" s="282"/>
      <c r="AK848" s="282"/>
      <c r="AL848" s="282"/>
      <c r="AM848" s="282"/>
    </row>
    <row r="849">
      <c r="AC849" s="282"/>
      <c r="AD849" s="282"/>
      <c r="AE849" s="282"/>
      <c r="AF849" s="282"/>
      <c r="AG849" s="282"/>
      <c r="AH849" s="282"/>
      <c r="AI849" s="282"/>
      <c r="AJ849" s="282"/>
      <c r="AK849" s="282"/>
      <c r="AL849" s="282"/>
      <c r="AM849" s="282"/>
    </row>
    <row r="850">
      <c r="AC850" s="282"/>
      <c r="AD850" s="282"/>
      <c r="AE850" s="282"/>
      <c r="AF850" s="282"/>
      <c r="AG850" s="282"/>
      <c r="AH850" s="282"/>
      <c r="AI850" s="282"/>
      <c r="AJ850" s="282"/>
      <c r="AK850" s="282"/>
      <c r="AL850" s="282"/>
      <c r="AM850" s="282"/>
    </row>
    <row r="851">
      <c r="AC851" s="282"/>
      <c r="AD851" s="282"/>
      <c r="AE851" s="282"/>
      <c r="AF851" s="282"/>
      <c r="AG851" s="282"/>
      <c r="AH851" s="282"/>
      <c r="AI851" s="282"/>
      <c r="AJ851" s="282"/>
      <c r="AK851" s="282"/>
      <c r="AL851" s="282"/>
      <c r="AM851" s="282"/>
    </row>
    <row r="852">
      <c r="AC852" s="282"/>
      <c r="AD852" s="282"/>
      <c r="AE852" s="282"/>
      <c r="AF852" s="282"/>
      <c r="AG852" s="282"/>
      <c r="AH852" s="282"/>
      <c r="AI852" s="282"/>
      <c r="AJ852" s="282"/>
      <c r="AK852" s="282"/>
      <c r="AL852" s="282"/>
      <c r="AM852" s="282"/>
    </row>
    <row r="853">
      <c r="AC853" s="282"/>
      <c r="AD853" s="282"/>
      <c r="AE853" s="282"/>
      <c r="AF853" s="282"/>
      <c r="AG853" s="282"/>
      <c r="AH853" s="282"/>
      <c r="AI853" s="282"/>
      <c r="AJ853" s="282"/>
      <c r="AK853" s="282"/>
      <c r="AL853" s="282"/>
      <c r="AM853" s="282"/>
    </row>
    <row r="854">
      <c r="AC854" s="282"/>
      <c r="AD854" s="282"/>
      <c r="AE854" s="282"/>
      <c r="AF854" s="282"/>
      <c r="AG854" s="282"/>
      <c r="AH854" s="282"/>
      <c r="AI854" s="282"/>
      <c r="AJ854" s="282"/>
      <c r="AK854" s="282"/>
      <c r="AL854" s="282"/>
      <c r="AM854" s="282"/>
    </row>
    <row r="855">
      <c r="AC855" s="282"/>
      <c r="AD855" s="282"/>
      <c r="AE855" s="282"/>
      <c r="AF855" s="282"/>
      <c r="AG855" s="282"/>
      <c r="AH855" s="282"/>
      <c r="AI855" s="282"/>
      <c r="AJ855" s="282"/>
      <c r="AK855" s="282"/>
      <c r="AL855" s="282"/>
      <c r="AM855" s="282"/>
    </row>
    <row r="856">
      <c r="AC856" s="282"/>
      <c r="AD856" s="282"/>
      <c r="AE856" s="282"/>
      <c r="AF856" s="282"/>
      <c r="AG856" s="282"/>
      <c r="AH856" s="282"/>
      <c r="AI856" s="282"/>
      <c r="AJ856" s="282"/>
      <c r="AK856" s="282"/>
      <c r="AL856" s="282"/>
      <c r="AM856" s="282"/>
    </row>
    <row r="857">
      <c r="AC857" s="282"/>
      <c r="AD857" s="282"/>
      <c r="AE857" s="282"/>
      <c r="AF857" s="282"/>
      <c r="AG857" s="282"/>
      <c r="AH857" s="282"/>
      <c r="AI857" s="282"/>
      <c r="AJ857" s="282"/>
      <c r="AK857" s="282"/>
      <c r="AL857" s="282"/>
      <c r="AM857" s="282"/>
    </row>
    <row r="858">
      <c r="AC858" s="282"/>
      <c r="AD858" s="282"/>
      <c r="AE858" s="282"/>
      <c r="AF858" s="282"/>
      <c r="AG858" s="282"/>
      <c r="AH858" s="282"/>
      <c r="AI858" s="282"/>
      <c r="AJ858" s="282"/>
      <c r="AK858" s="282"/>
      <c r="AL858" s="282"/>
      <c r="AM858" s="282"/>
    </row>
    <row r="859">
      <c r="AC859" s="282"/>
      <c r="AD859" s="282"/>
      <c r="AE859" s="282"/>
      <c r="AF859" s="282"/>
      <c r="AG859" s="282"/>
      <c r="AH859" s="282"/>
      <c r="AI859" s="282"/>
      <c r="AJ859" s="282"/>
      <c r="AK859" s="282"/>
      <c r="AL859" s="282"/>
      <c r="AM859" s="282"/>
    </row>
    <row r="860">
      <c r="AC860" s="282"/>
      <c r="AD860" s="282"/>
      <c r="AE860" s="282"/>
      <c r="AF860" s="282"/>
      <c r="AG860" s="282"/>
      <c r="AH860" s="282"/>
      <c r="AI860" s="282"/>
      <c r="AJ860" s="282"/>
      <c r="AK860" s="282"/>
      <c r="AL860" s="282"/>
      <c r="AM860" s="282"/>
    </row>
    <row r="861">
      <c r="AC861" s="282"/>
      <c r="AD861" s="282"/>
      <c r="AE861" s="282"/>
      <c r="AF861" s="282"/>
      <c r="AG861" s="282"/>
      <c r="AH861" s="282"/>
      <c r="AI861" s="282"/>
      <c r="AJ861" s="282"/>
      <c r="AK861" s="282"/>
      <c r="AL861" s="282"/>
      <c r="AM861" s="282"/>
    </row>
    <row r="862">
      <c r="AC862" s="282"/>
      <c r="AD862" s="282"/>
      <c r="AE862" s="282"/>
      <c r="AF862" s="282"/>
      <c r="AG862" s="282"/>
      <c r="AH862" s="282"/>
      <c r="AI862" s="282"/>
      <c r="AJ862" s="282"/>
      <c r="AK862" s="282"/>
      <c r="AL862" s="282"/>
      <c r="AM862" s="282"/>
    </row>
    <row r="863">
      <c r="AC863" s="282"/>
      <c r="AD863" s="282"/>
      <c r="AE863" s="282"/>
      <c r="AF863" s="282"/>
      <c r="AG863" s="282"/>
      <c r="AH863" s="282"/>
      <c r="AI863" s="282"/>
      <c r="AJ863" s="282"/>
      <c r="AK863" s="282"/>
      <c r="AL863" s="282"/>
      <c r="AM863" s="282"/>
    </row>
    <row r="864">
      <c r="AC864" s="282"/>
      <c r="AD864" s="282"/>
      <c r="AE864" s="282"/>
      <c r="AF864" s="282"/>
      <c r="AG864" s="282"/>
      <c r="AH864" s="282"/>
      <c r="AI864" s="282"/>
      <c r="AJ864" s="282"/>
      <c r="AK864" s="282"/>
      <c r="AL864" s="282"/>
      <c r="AM864" s="282"/>
    </row>
    <row r="865">
      <c r="AC865" s="282"/>
      <c r="AD865" s="282"/>
      <c r="AE865" s="282"/>
      <c r="AF865" s="282"/>
      <c r="AG865" s="282"/>
      <c r="AH865" s="282"/>
      <c r="AI865" s="282"/>
      <c r="AJ865" s="282"/>
      <c r="AK865" s="282"/>
      <c r="AL865" s="282"/>
      <c r="AM865" s="282"/>
    </row>
    <row r="866">
      <c r="AC866" s="282"/>
      <c r="AD866" s="282"/>
      <c r="AE866" s="282"/>
      <c r="AF866" s="282"/>
      <c r="AG866" s="282"/>
      <c r="AH866" s="282"/>
      <c r="AI866" s="282"/>
      <c r="AJ866" s="282"/>
      <c r="AK866" s="282"/>
      <c r="AL866" s="282"/>
      <c r="AM866" s="282"/>
    </row>
    <row r="867">
      <c r="AC867" s="282"/>
      <c r="AD867" s="282"/>
      <c r="AE867" s="282"/>
      <c r="AF867" s="282"/>
      <c r="AG867" s="282"/>
      <c r="AH867" s="282"/>
      <c r="AI867" s="282"/>
      <c r="AJ867" s="282"/>
      <c r="AK867" s="282"/>
      <c r="AL867" s="282"/>
      <c r="AM867" s="282"/>
    </row>
    <row r="868">
      <c r="AC868" s="282"/>
      <c r="AD868" s="282"/>
      <c r="AE868" s="282"/>
      <c r="AF868" s="282"/>
      <c r="AG868" s="282"/>
      <c r="AH868" s="282"/>
      <c r="AI868" s="282"/>
      <c r="AJ868" s="282"/>
      <c r="AK868" s="282"/>
      <c r="AL868" s="282"/>
      <c r="AM868" s="282"/>
    </row>
    <row r="869">
      <c r="AC869" s="282"/>
      <c r="AD869" s="282"/>
      <c r="AE869" s="282"/>
      <c r="AF869" s="282"/>
      <c r="AG869" s="282"/>
      <c r="AH869" s="282"/>
      <c r="AI869" s="282"/>
      <c r="AJ869" s="282"/>
      <c r="AK869" s="282"/>
      <c r="AL869" s="282"/>
      <c r="AM869" s="282"/>
    </row>
    <row r="870">
      <c r="AC870" s="282"/>
      <c r="AD870" s="282"/>
      <c r="AE870" s="282"/>
      <c r="AF870" s="282"/>
      <c r="AG870" s="282"/>
      <c r="AH870" s="282"/>
      <c r="AI870" s="282"/>
      <c r="AJ870" s="282"/>
      <c r="AK870" s="282"/>
      <c r="AL870" s="282"/>
      <c r="AM870" s="282"/>
    </row>
    <row r="871">
      <c r="AC871" s="282"/>
      <c r="AD871" s="282"/>
      <c r="AE871" s="282"/>
      <c r="AF871" s="282"/>
      <c r="AG871" s="282"/>
      <c r="AH871" s="282"/>
      <c r="AI871" s="282"/>
      <c r="AJ871" s="282"/>
      <c r="AK871" s="282"/>
      <c r="AL871" s="282"/>
      <c r="AM871" s="282"/>
    </row>
    <row r="872">
      <c r="AC872" s="282"/>
      <c r="AD872" s="282"/>
      <c r="AE872" s="282"/>
      <c r="AF872" s="282"/>
      <c r="AG872" s="282"/>
      <c r="AH872" s="282"/>
      <c r="AI872" s="282"/>
      <c r="AJ872" s="282"/>
      <c r="AK872" s="282"/>
      <c r="AL872" s="282"/>
      <c r="AM872" s="282"/>
    </row>
    <row r="873">
      <c r="AC873" s="282"/>
      <c r="AD873" s="282"/>
      <c r="AE873" s="282"/>
      <c r="AF873" s="282"/>
      <c r="AG873" s="282"/>
      <c r="AH873" s="282"/>
      <c r="AI873" s="282"/>
      <c r="AJ873" s="282"/>
      <c r="AK873" s="282"/>
      <c r="AL873" s="282"/>
      <c r="AM873" s="282"/>
    </row>
    <row r="874">
      <c r="AC874" s="282"/>
      <c r="AD874" s="282"/>
      <c r="AE874" s="282"/>
      <c r="AF874" s="282"/>
      <c r="AG874" s="282"/>
      <c r="AH874" s="282"/>
      <c r="AI874" s="282"/>
      <c r="AJ874" s="282"/>
      <c r="AK874" s="282"/>
      <c r="AL874" s="282"/>
      <c r="AM874" s="282"/>
    </row>
    <row r="875">
      <c r="AC875" s="282"/>
      <c r="AD875" s="282"/>
      <c r="AE875" s="282"/>
      <c r="AF875" s="282"/>
      <c r="AG875" s="282"/>
      <c r="AH875" s="282"/>
      <c r="AI875" s="282"/>
      <c r="AJ875" s="282"/>
      <c r="AK875" s="282"/>
      <c r="AL875" s="282"/>
      <c r="AM875" s="282"/>
    </row>
    <row r="876">
      <c r="AC876" s="282"/>
      <c r="AD876" s="282"/>
      <c r="AE876" s="282"/>
      <c r="AF876" s="282"/>
      <c r="AG876" s="282"/>
      <c r="AH876" s="282"/>
      <c r="AI876" s="282"/>
      <c r="AJ876" s="282"/>
      <c r="AK876" s="282"/>
      <c r="AL876" s="282"/>
      <c r="AM876" s="282"/>
    </row>
    <row r="877">
      <c r="AC877" s="282"/>
      <c r="AD877" s="282"/>
      <c r="AE877" s="282"/>
      <c r="AF877" s="282"/>
      <c r="AG877" s="282"/>
      <c r="AH877" s="282"/>
      <c r="AI877" s="282"/>
      <c r="AJ877" s="282"/>
      <c r="AK877" s="282"/>
      <c r="AL877" s="282"/>
      <c r="AM877" s="282"/>
    </row>
    <row r="878">
      <c r="AC878" s="282"/>
      <c r="AD878" s="282"/>
      <c r="AE878" s="282"/>
      <c r="AF878" s="282"/>
      <c r="AG878" s="282"/>
      <c r="AH878" s="282"/>
      <c r="AI878" s="282"/>
      <c r="AJ878" s="282"/>
      <c r="AK878" s="282"/>
      <c r="AL878" s="282"/>
      <c r="AM878" s="282"/>
    </row>
    <row r="879">
      <c r="AC879" s="282"/>
      <c r="AD879" s="282"/>
      <c r="AE879" s="282"/>
      <c r="AF879" s="282"/>
      <c r="AG879" s="282"/>
      <c r="AH879" s="282"/>
      <c r="AI879" s="282"/>
      <c r="AJ879" s="282"/>
      <c r="AK879" s="282"/>
      <c r="AL879" s="282"/>
      <c r="AM879" s="282"/>
    </row>
    <row r="880">
      <c r="AC880" s="282"/>
      <c r="AD880" s="282"/>
      <c r="AE880" s="282"/>
      <c r="AF880" s="282"/>
      <c r="AG880" s="282"/>
      <c r="AH880" s="282"/>
      <c r="AI880" s="282"/>
      <c r="AJ880" s="282"/>
      <c r="AK880" s="282"/>
      <c r="AL880" s="282"/>
      <c r="AM880" s="282"/>
    </row>
    <row r="881">
      <c r="AC881" s="282"/>
      <c r="AD881" s="282"/>
      <c r="AE881" s="282"/>
      <c r="AF881" s="282"/>
      <c r="AG881" s="282"/>
      <c r="AH881" s="282"/>
      <c r="AI881" s="282"/>
      <c r="AJ881" s="282"/>
      <c r="AK881" s="282"/>
      <c r="AL881" s="282"/>
      <c r="AM881" s="282"/>
    </row>
    <row r="882">
      <c r="AC882" s="282"/>
      <c r="AD882" s="282"/>
      <c r="AE882" s="282"/>
      <c r="AF882" s="282"/>
      <c r="AG882" s="282"/>
      <c r="AH882" s="282"/>
      <c r="AI882" s="282"/>
      <c r="AJ882" s="282"/>
      <c r="AK882" s="282"/>
      <c r="AL882" s="282"/>
      <c r="AM882" s="282"/>
    </row>
    <row r="883">
      <c r="AC883" s="282"/>
      <c r="AD883" s="282"/>
      <c r="AE883" s="282"/>
      <c r="AF883" s="282"/>
      <c r="AG883" s="282"/>
      <c r="AH883" s="282"/>
      <c r="AI883" s="282"/>
      <c r="AJ883" s="282"/>
      <c r="AK883" s="282"/>
      <c r="AL883" s="282"/>
      <c r="AM883" s="282"/>
    </row>
    <row r="884">
      <c r="AC884" s="282"/>
      <c r="AD884" s="282"/>
      <c r="AE884" s="282"/>
      <c r="AF884" s="282"/>
      <c r="AG884" s="282"/>
      <c r="AH884" s="282"/>
      <c r="AI884" s="282"/>
      <c r="AJ884" s="282"/>
      <c r="AK884" s="282"/>
      <c r="AL884" s="282"/>
      <c r="AM884" s="282"/>
    </row>
    <row r="885">
      <c r="AC885" s="282"/>
      <c r="AD885" s="282"/>
      <c r="AE885" s="282"/>
      <c r="AF885" s="282"/>
      <c r="AG885" s="282"/>
      <c r="AH885" s="282"/>
      <c r="AI885" s="282"/>
      <c r="AJ885" s="282"/>
      <c r="AK885" s="282"/>
      <c r="AL885" s="282"/>
      <c r="AM885" s="282"/>
    </row>
    <row r="886">
      <c r="AC886" s="282"/>
      <c r="AD886" s="282"/>
      <c r="AE886" s="282"/>
      <c r="AF886" s="282"/>
      <c r="AG886" s="282"/>
      <c r="AH886" s="282"/>
      <c r="AI886" s="282"/>
      <c r="AJ886" s="282"/>
      <c r="AK886" s="282"/>
      <c r="AL886" s="282"/>
      <c r="AM886" s="282"/>
    </row>
    <row r="887">
      <c r="AC887" s="282"/>
      <c r="AD887" s="282"/>
      <c r="AE887" s="282"/>
      <c r="AF887" s="282"/>
      <c r="AG887" s="282"/>
      <c r="AH887" s="282"/>
      <c r="AI887" s="282"/>
      <c r="AJ887" s="282"/>
      <c r="AK887" s="282"/>
      <c r="AL887" s="282"/>
      <c r="AM887" s="282"/>
    </row>
    <row r="888">
      <c r="AC888" s="282"/>
      <c r="AD888" s="282"/>
      <c r="AE888" s="282"/>
      <c r="AF888" s="282"/>
      <c r="AG888" s="282"/>
      <c r="AH888" s="282"/>
      <c r="AI888" s="282"/>
      <c r="AJ888" s="282"/>
      <c r="AK888" s="282"/>
      <c r="AL888" s="282"/>
      <c r="AM888" s="282"/>
    </row>
    <row r="889">
      <c r="AC889" s="282"/>
      <c r="AD889" s="282"/>
      <c r="AE889" s="282"/>
      <c r="AF889" s="282"/>
      <c r="AG889" s="282"/>
      <c r="AH889" s="282"/>
      <c r="AI889" s="282"/>
      <c r="AJ889" s="282"/>
      <c r="AK889" s="282"/>
      <c r="AL889" s="282"/>
      <c r="AM889" s="282"/>
    </row>
    <row r="890">
      <c r="AC890" s="282"/>
      <c r="AD890" s="282"/>
      <c r="AE890" s="282"/>
      <c r="AF890" s="282"/>
      <c r="AG890" s="282"/>
      <c r="AH890" s="282"/>
      <c r="AI890" s="282"/>
      <c r="AJ890" s="282"/>
      <c r="AK890" s="282"/>
      <c r="AL890" s="282"/>
      <c r="AM890" s="282"/>
    </row>
    <row r="891">
      <c r="AC891" s="282"/>
      <c r="AD891" s="282"/>
      <c r="AE891" s="282"/>
      <c r="AF891" s="282"/>
      <c r="AG891" s="282"/>
      <c r="AH891" s="282"/>
      <c r="AI891" s="282"/>
      <c r="AJ891" s="282"/>
      <c r="AK891" s="282"/>
      <c r="AL891" s="282"/>
      <c r="AM891" s="282"/>
    </row>
    <row r="892">
      <c r="AC892" s="282"/>
      <c r="AD892" s="282"/>
      <c r="AE892" s="282"/>
      <c r="AF892" s="282"/>
      <c r="AG892" s="282"/>
      <c r="AH892" s="282"/>
      <c r="AI892" s="282"/>
      <c r="AJ892" s="282"/>
      <c r="AK892" s="282"/>
      <c r="AL892" s="282"/>
      <c r="AM892" s="282"/>
    </row>
    <row r="893">
      <c r="AC893" s="282"/>
      <c r="AD893" s="282"/>
      <c r="AE893" s="282"/>
      <c r="AF893" s="282"/>
      <c r="AG893" s="282"/>
      <c r="AH893" s="282"/>
      <c r="AI893" s="282"/>
      <c r="AJ893" s="282"/>
      <c r="AK893" s="282"/>
      <c r="AL893" s="282"/>
      <c r="AM893" s="282"/>
    </row>
    <row r="894">
      <c r="AC894" s="282"/>
      <c r="AD894" s="282"/>
      <c r="AE894" s="282"/>
      <c r="AF894" s="282"/>
      <c r="AG894" s="282"/>
      <c r="AH894" s="282"/>
      <c r="AI894" s="282"/>
      <c r="AJ894" s="282"/>
      <c r="AK894" s="282"/>
      <c r="AL894" s="282"/>
      <c r="AM894" s="282"/>
    </row>
    <row r="895">
      <c r="AC895" s="282"/>
      <c r="AD895" s="282"/>
      <c r="AE895" s="282"/>
      <c r="AF895" s="282"/>
      <c r="AG895" s="282"/>
      <c r="AH895" s="282"/>
      <c r="AI895" s="282"/>
      <c r="AJ895" s="282"/>
      <c r="AK895" s="282"/>
      <c r="AL895" s="282"/>
      <c r="AM895" s="282"/>
    </row>
    <row r="896">
      <c r="AC896" s="282"/>
      <c r="AD896" s="282"/>
      <c r="AE896" s="282"/>
      <c r="AF896" s="282"/>
      <c r="AG896" s="282"/>
      <c r="AH896" s="282"/>
      <c r="AI896" s="282"/>
      <c r="AJ896" s="282"/>
      <c r="AK896" s="282"/>
      <c r="AL896" s="282"/>
      <c r="AM896" s="282"/>
    </row>
    <row r="897">
      <c r="AC897" s="282"/>
      <c r="AD897" s="282"/>
      <c r="AE897" s="282"/>
      <c r="AF897" s="282"/>
      <c r="AG897" s="282"/>
      <c r="AH897" s="282"/>
      <c r="AI897" s="282"/>
      <c r="AJ897" s="282"/>
      <c r="AK897" s="282"/>
      <c r="AL897" s="282"/>
      <c r="AM897" s="282"/>
    </row>
    <row r="898">
      <c r="AC898" s="282"/>
      <c r="AD898" s="282"/>
      <c r="AE898" s="282"/>
      <c r="AF898" s="282"/>
      <c r="AG898" s="282"/>
      <c r="AH898" s="282"/>
      <c r="AI898" s="282"/>
      <c r="AJ898" s="282"/>
      <c r="AK898" s="282"/>
      <c r="AL898" s="282"/>
      <c r="AM898" s="282"/>
    </row>
    <row r="899">
      <c r="AC899" s="282"/>
      <c r="AD899" s="282"/>
      <c r="AE899" s="282"/>
      <c r="AF899" s="282"/>
      <c r="AG899" s="282"/>
      <c r="AH899" s="282"/>
      <c r="AI899" s="282"/>
      <c r="AJ899" s="282"/>
      <c r="AK899" s="282"/>
      <c r="AL899" s="282"/>
      <c r="AM899" s="282"/>
    </row>
    <row r="900">
      <c r="AC900" s="282"/>
      <c r="AD900" s="282"/>
      <c r="AE900" s="282"/>
      <c r="AF900" s="282"/>
      <c r="AG900" s="282"/>
      <c r="AH900" s="282"/>
      <c r="AI900" s="282"/>
      <c r="AJ900" s="282"/>
      <c r="AK900" s="282"/>
      <c r="AL900" s="282"/>
      <c r="AM900" s="282"/>
    </row>
    <row r="901">
      <c r="AC901" s="282"/>
      <c r="AD901" s="282"/>
      <c r="AE901" s="282"/>
      <c r="AF901" s="282"/>
      <c r="AG901" s="282"/>
      <c r="AH901" s="282"/>
      <c r="AI901" s="282"/>
      <c r="AJ901" s="282"/>
      <c r="AK901" s="282"/>
      <c r="AL901" s="282"/>
      <c r="AM901" s="282"/>
    </row>
    <row r="902">
      <c r="AC902" s="282"/>
      <c r="AD902" s="282"/>
      <c r="AE902" s="282"/>
      <c r="AF902" s="282"/>
      <c r="AG902" s="282"/>
      <c r="AH902" s="282"/>
      <c r="AI902" s="282"/>
      <c r="AJ902" s="282"/>
      <c r="AK902" s="282"/>
      <c r="AL902" s="282"/>
      <c r="AM902" s="282"/>
    </row>
    <row r="903">
      <c r="AC903" s="282"/>
      <c r="AD903" s="282"/>
      <c r="AE903" s="282"/>
      <c r="AF903" s="282"/>
      <c r="AG903" s="282"/>
      <c r="AH903" s="282"/>
      <c r="AI903" s="282"/>
      <c r="AJ903" s="282"/>
      <c r="AK903" s="282"/>
      <c r="AL903" s="282"/>
      <c r="AM903" s="282"/>
    </row>
    <row r="904">
      <c r="AC904" s="282"/>
      <c r="AD904" s="282"/>
      <c r="AE904" s="282"/>
      <c r="AF904" s="282"/>
      <c r="AG904" s="282"/>
      <c r="AH904" s="282"/>
      <c r="AI904" s="282"/>
      <c r="AJ904" s="282"/>
      <c r="AK904" s="282"/>
      <c r="AL904" s="282"/>
      <c r="AM904" s="282"/>
    </row>
    <row r="905">
      <c r="AC905" s="282"/>
      <c r="AD905" s="282"/>
      <c r="AE905" s="282"/>
      <c r="AF905" s="282"/>
      <c r="AG905" s="282"/>
      <c r="AH905" s="282"/>
      <c r="AI905" s="282"/>
      <c r="AJ905" s="282"/>
      <c r="AK905" s="282"/>
      <c r="AL905" s="282"/>
      <c r="AM905" s="282"/>
    </row>
    <row r="906">
      <c r="AC906" s="282"/>
      <c r="AD906" s="282"/>
      <c r="AE906" s="282"/>
      <c r="AF906" s="282"/>
      <c r="AG906" s="282"/>
      <c r="AH906" s="282"/>
      <c r="AI906" s="282"/>
      <c r="AJ906" s="282"/>
      <c r="AK906" s="282"/>
      <c r="AL906" s="282"/>
      <c r="AM906" s="282"/>
    </row>
    <row r="907">
      <c r="AC907" s="282"/>
      <c r="AD907" s="282"/>
      <c r="AE907" s="282"/>
      <c r="AF907" s="282"/>
      <c r="AG907" s="282"/>
      <c r="AH907" s="282"/>
      <c r="AI907" s="282"/>
      <c r="AJ907" s="282"/>
      <c r="AK907" s="282"/>
      <c r="AL907" s="282"/>
      <c r="AM907" s="282"/>
    </row>
    <row r="908">
      <c r="AC908" s="282"/>
      <c r="AD908" s="282"/>
      <c r="AE908" s="282"/>
      <c r="AF908" s="282"/>
      <c r="AG908" s="282"/>
      <c r="AH908" s="282"/>
      <c r="AI908" s="282"/>
      <c r="AJ908" s="282"/>
      <c r="AK908" s="282"/>
      <c r="AL908" s="282"/>
      <c r="AM908" s="282"/>
    </row>
    <row r="909">
      <c r="AC909" s="282"/>
      <c r="AD909" s="282"/>
      <c r="AE909" s="282"/>
      <c r="AF909" s="282"/>
      <c r="AG909" s="282"/>
      <c r="AH909" s="282"/>
      <c r="AI909" s="282"/>
      <c r="AJ909" s="282"/>
      <c r="AK909" s="282"/>
      <c r="AL909" s="282"/>
      <c r="AM909" s="282"/>
    </row>
    <row r="910">
      <c r="AC910" s="282"/>
      <c r="AD910" s="282"/>
      <c r="AE910" s="282"/>
      <c r="AF910" s="282"/>
      <c r="AG910" s="282"/>
      <c r="AH910" s="282"/>
      <c r="AI910" s="282"/>
      <c r="AJ910" s="282"/>
      <c r="AK910" s="282"/>
      <c r="AL910" s="282"/>
      <c r="AM910" s="282"/>
    </row>
    <row r="911">
      <c r="AC911" s="282"/>
      <c r="AD911" s="282"/>
      <c r="AE911" s="282"/>
      <c r="AF911" s="282"/>
      <c r="AG911" s="282"/>
      <c r="AH911" s="282"/>
      <c r="AI911" s="282"/>
      <c r="AJ911" s="282"/>
      <c r="AK911" s="282"/>
      <c r="AL911" s="282"/>
      <c r="AM911" s="282"/>
    </row>
    <row r="912">
      <c r="AC912" s="282"/>
      <c r="AD912" s="282"/>
      <c r="AE912" s="282"/>
      <c r="AF912" s="282"/>
      <c r="AG912" s="282"/>
      <c r="AH912" s="282"/>
      <c r="AI912" s="282"/>
      <c r="AJ912" s="282"/>
      <c r="AK912" s="282"/>
      <c r="AL912" s="282"/>
      <c r="AM912" s="282"/>
    </row>
    <row r="913">
      <c r="AC913" s="282"/>
      <c r="AD913" s="282"/>
      <c r="AE913" s="282"/>
      <c r="AF913" s="282"/>
      <c r="AG913" s="282"/>
      <c r="AH913" s="282"/>
      <c r="AI913" s="282"/>
      <c r="AJ913" s="282"/>
      <c r="AK913" s="282"/>
      <c r="AL913" s="282"/>
      <c r="AM913" s="282"/>
    </row>
    <row r="914">
      <c r="AC914" s="282"/>
      <c r="AD914" s="282"/>
      <c r="AE914" s="282"/>
      <c r="AF914" s="282"/>
      <c r="AG914" s="282"/>
      <c r="AH914" s="282"/>
      <c r="AI914" s="282"/>
      <c r="AJ914" s="282"/>
      <c r="AK914" s="282"/>
      <c r="AL914" s="282"/>
      <c r="AM914" s="282"/>
    </row>
    <row r="915">
      <c r="AC915" s="282"/>
      <c r="AD915" s="282"/>
      <c r="AE915" s="282"/>
      <c r="AF915" s="282"/>
      <c r="AG915" s="282"/>
      <c r="AH915" s="282"/>
      <c r="AI915" s="282"/>
      <c r="AJ915" s="282"/>
      <c r="AK915" s="282"/>
      <c r="AL915" s="282"/>
      <c r="AM915" s="282"/>
    </row>
    <row r="916">
      <c r="AC916" s="282"/>
      <c r="AD916" s="282"/>
      <c r="AE916" s="282"/>
      <c r="AF916" s="282"/>
      <c r="AG916" s="282"/>
      <c r="AH916" s="282"/>
      <c r="AI916" s="282"/>
      <c r="AJ916" s="282"/>
      <c r="AK916" s="282"/>
      <c r="AL916" s="282"/>
      <c r="AM916" s="282"/>
    </row>
    <row r="917">
      <c r="AC917" s="282"/>
      <c r="AD917" s="282"/>
      <c r="AE917" s="282"/>
      <c r="AF917" s="282"/>
      <c r="AG917" s="282"/>
      <c r="AH917" s="282"/>
      <c r="AI917" s="282"/>
      <c r="AJ917" s="282"/>
      <c r="AK917" s="282"/>
      <c r="AL917" s="282"/>
      <c r="AM917" s="282"/>
    </row>
    <row r="918">
      <c r="AC918" s="282"/>
      <c r="AD918" s="282"/>
      <c r="AE918" s="282"/>
      <c r="AF918" s="282"/>
      <c r="AG918" s="282"/>
      <c r="AH918" s="282"/>
      <c r="AI918" s="282"/>
      <c r="AJ918" s="282"/>
      <c r="AK918" s="282"/>
      <c r="AL918" s="282"/>
      <c r="AM918" s="282"/>
    </row>
    <row r="919">
      <c r="AC919" s="282"/>
      <c r="AD919" s="282"/>
      <c r="AE919" s="282"/>
      <c r="AF919" s="282"/>
      <c r="AG919" s="282"/>
      <c r="AH919" s="282"/>
      <c r="AI919" s="282"/>
      <c r="AJ919" s="282"/>
      <c r="AK919" s="282"/>
      <c r="AL919" s="282"/>
      <c r="AM919" s="282"/>
    </row>
    <row r="920">
      <c r="AC920" s="282"/>
      <c r="AD920" s="282"/>
      <c r="AE920" s="282"/>
      <c r="AF920" s="282"/>
      <c r="AG920" s="282"/>
      <c r="AH920" s="282"/>
      <c r="AI920" s="282"/>
      <c r="AJ920" s="282"/>
      <c r="AK920" s="282"/>
      <c r="AL920" s="282"/>
      <c r="AM920" s="282"/>
    </row>
    <row r="921">
      <c r="AC921" s="282"/>
      <c r="AD921" s="282"/>
      <c r="AE921" s="282"/>
      <c r="AF921" s="282"/>
      <c r="AG921" s="282"/>
      <c r="AH921" s="282"/>
      <c r="AI921" s="282"/>
      <c r="AJ921" s="282"/>
      <c r="AK921" s="282"/>
      <c r="AL921" s="282"/>
      <c r="AM921" s="282"/>
    </row>
    <row r="922">
      <c r="AC922" s="282"/>
      <c r="AD922" s="282"/>
      <c r="AE922" s="282"/>
      <c r="AF922" s="282"/>
      <c r="AG922" s="282"/>
      <c r="AH922" s="282"/>
      <c r="AI922" s="282"/>
      <c r="AJ922" s="282"/>
      <c r="AK922" s="282"/>
      <c r="AL922" s="282"/>
      <c r="AM922" s="282"/>
    </row>
    <row r="923">
      <c r="AC923" s="282"/>
      <c r="AD923" s="282"/>
      <c r="AE923" s="282"/>
      <c r="AF923" s="282"/>
      <c r="AG923" s="282"/>
      <c r="AH923" s="282"/>
      <c r="AI923" s="282"/>
      <c r="AJ923" s="282"/>
      <c r="AK923" s="282"/>
      <c r="AL923" s="282"/>
      <c r="AM923" s="282"/>
    </row>
    <row r="924">
      <c r="AC924" s="282"/>
      <c r="AD924" s="282"/>
      <c r="AE924" s="282"/>
      <c r="AF924" s="282"/>
      <c r="AG924" s="282"/>
      <c r="AH924" s="282"/>
      <c r="AI924" s="282"/>
      <c r="AJ924" s="282"/>
      <c r="AK924" s="282"/>
      <c r="AL924" s="282"/>
      <c r="AM924" s="282"/>
    </row>
    <row r="925">
      <c r="AC925" s="282"/>
      <c r="AD925" s="282"/>
      <c r="AE925" s="282"/>
      <c r="AF925" s="282"/>
      <c r="AG925" s="282"/>
      <c r="AH925" s="282"/>
      <c r="AI925" s="282"/>
      <c r="AJ925" s="282"/>
      <c r="AK925" s="282"/>
      <c r="AL925" s="282"/>
      <c r="AM925" s="282"/>
    </row>
    <row r="926">
      <c r="AC926" s="282"/>
      <c r="AD926" s="282"/>
      <c r="AE926" s="282"/>
      <c r="AF926" s="282"/>
      <c r="AG926" s="282"/>
      <c r="AH926" s="282"/>
      <c r="AI926" s="282"/>
      <c r="AJ926" s="282"/>
      <c r="AK926" s="282"/>
      <c r="AL926" s="282"/>
      <c r="AM926" s="282"/>
    </row>
    <row r="927">
      <c r="AC927" s="282"/>
      <c r="AD927" s="282"/>
      <c r="AE927" s="282"/>
      <c r="AF927" s="282"/>
      <c r="AG927" s="282"/>
      <c r="AH927" s="282"/>
      <c r="AI927" s="282"/>
      <c r="AJ927" s="282"/>
      <c r="AK927" s="282"/>
      <c r="AL927" s="282"/>
      <c r="AM927" s="282"/>
    </row>
    <row r="928">
      <c r="AC928" s="282"/>
      <c r="AD928" s="282"/>
      <c r="AE928" s="282"/>
      <c r="AF928" s="282"/>
      <c r="AG928" s="282"/>
      <c r="AH928" s="282"/>
      <c r="AI928" s="282"/>
      <c r="AJ928" s="282"/>
      <c r="AK928" s="282"/>
      <c r="AL928" s="282"/>
      <c r="AM928" s="282"/>
    </row>
    <row r="929">
      <c r="AC929" s="282"/>
      <c r="AD929" s="282"/>
      <c r="AE929" s="282"/>
      <c r="AF929" s="282"/>
      <c r="AG929" s="282"/>
      <c r="AH929" s="282"/>
      <c r="AI929" s="282"/>
      <c r="AJ929" s="282"/>
      <c r="AK929" s="282"/>
      <c r="AL929" s="282"/>
      <c r="AM929" s="282"/>
    </row>
    <row r="930">
      <c r="AC930" s="282"/>
      <c r="AD930" s="282"/>
      <c r="AE930" s="282"/>
      <c r="AF930" s="282"/>
      <c r="AG930" s="282"/>
      <c r="AH930" s="282"/>
      <c r="AI930" s="282"/>
      <c r="AJ930" s="282"/>
      <c r="AK930" s="282"/>
      <c r="AL930" s="282"/>
      <c r="AM930" s="282"/>
    </row>
    <row r="931">
      <c r="AC931" s="282"/>
      <c r="AD931" s="282"/>
      <c r="AE931" s="282"/>
      <c r="AF931" s="282"/>
      <c r="AG931" s="282"/>
      <c r="AH931" s="282"/>
      <c r="AI931" s="282"/>
      <c r="AJ931" s="282"/>
      <c r="AK931" s="282"/>
      <c r="AL931" s="282"/>
      <c r="AM931" s="282"/>
    </row>
    <row r="932">
      <c r="AC932" s="282"/>
      <c r="AD932" s="282"/>
      <c r="AE932" s="282"/>
      <c r="AF932" s="282"/>
      <c r="AG932" s="282"/>
      <c r="AH932" s="282"/>
      <c r="AI932" s="282"/>
      <c r="AJ932" s="282"/>
      <c r="AK932" s="282"/>
      <c r="AL932" s="282"/>
      <c r="AM932" s="282"/>
    </row>
    <row r="933">
      <c r="AC933" s="282"/>
      <c r="AD933" s="282"/>
      <c r="AE933" s="282"/>
      <c r="AF933" s="282"/>
      <c r="AG933" s="282"/>
      <c r="AH933" s="282"/>
      <c r="AI933" s="282"/>
      <c r="AJ933" s="282"/>
      <c r="AK933" s="282"/>
      <c r="AL933" s="282"/>
      <c r="AM933" s="282"/>
    </row>
    <row r="934">
      <c r="AC934" s="282"/>
      <c r="AD934" s="282"/>
      <c r="AE934" s="282"/>
      <c r="AF934" s="282"/>
      <c r="AG934" s="282"/>
      <c r="AH934" s="282"/>
      <c r="AI934" s="282"/>
      <c r="AJ934" s="282"/>
      <c r="AK934" s="282"/>
      <c r="AL934" s="282"/>
      <c r="AM934" s="282"/>
    </row>
    <row r="935">
      <c r="AC935" s="282"/>
      <c r="AD935" s="282"/>
      <c r="AE935" s="282"/>
      <c r="AF935" s="282"/>
      <c r="AG935" s="282"/>
      <c r="AH935" s="282"/>
      <c r="AI935" s="282"/>
      <c r="AJ935" s="282"/>
      <c r="AK935" s="282"/>
      <c r="AL935" s="282"/>
      <c r="AM935" s="282"/>
    </row>
    <row r="936">
      <c r="AC936" s="282"/>
      <c r="AD936" s="282"/>
      <c r="AE936" s="282"/>
      <c r="AF936" s="282"/>
      <c r="AG936" s="282"/>
      <c r="AH936" s="282"/>
      <c r="AI936" s="282"/>
      <c r="AJ936" s="282"/>
      <c r="AK936" s="282"/>
      <c r="AL936" s="282"/>
      <c r="AM936" s="282"/>
    </row>
    <row r="937">
      <c r="AC937" s="282"/>
      <c r="AD937" s="282"/>
      <c r="AE937" s="282"/>
      <c r="AF937" s="282"/>
      <c r="AG937" s="282"/>
      <c r="AH937" s="282"/>
      <c r="AI937" s="282"/>
      <c r="AJ937" s="282"/>
      <c r="AK937" s="282"/>
      <c r="AL937" s="282"/>
      <c r="AM937" s="282"/>
    </row>
    <row r="938">
      <c r="AC938" s="282"/>
      <c r="AD938" s="282"/>
      <c r="AE938" s="282"/>
      <c r="AF938" s="282"/>
      <c r="AG938" s="282"/>
      <c r="AH938" s="282"/>
      <c r="AI938" s="282"/>
      <c r="AJ938" s="282"/>
      <c r="AK938" s="282"/>
      <c r="AL938" s="282"/>
      <c r="AM938" s="282"/>
    </row>
    <row r="939">
      <c r="AC939" s="282"/>
      <c r="AD939" s="282"/>
      <c r="AE939" s="282"/>
      <c r="AF939" s="282"/>
      <c r="AG939" s="282"/>
      <c r="AH939" s="282"/>
      <c r="AI939" s="282"/>
      <c r="AJ939" s="282"/>
      <c r="AK939" s="282"/>
      <c r="AL939" s="282"/>
      <c r="AM939" s="282"/>
    </row>
    <row r="940">
      <c r="AC940" s="282"/>
      <c r="AD940" s="282"/>
      <c r="AE940" s="282"/>
      <c r="AF940" s="282"/>
      <c r="AG940" s="282"/>
      <c r="AH940" s="282"/>
      <c r="AI940" s="282"/>
      <c r="AJ940" s="282"/>
      <c r="AK940" s="282"/>
      <c r="AL940" s="282"/>
      <c r="AM940" s="282"/>
    </row>
    <row r="941">
      <c r="AC941" s="282"/>
      <c r="AD941" s="282"/>
      <c r="AE941" s="282"/>
      <c r="AF941" s="282"/>
      <c r="AG941" s="282"/>
      <c r="AH941" s="282"/>
      <c r="AI941" s="282"/>
      <c r="AJ941" s="282"/>
      <c r="AK941" s="282"/>
      <c r="AL941" s="282"/>
      <c r="AM941" s="282"/>
    </row>
    <row r="942">
      <c r="AC942" s="282"/>
      <c r="AD942" s="282"/>
      <c r="AE942" s="282"/>
      <c r="AF942" s="282"/>
      <c r="AG942" s="282"/>
      <c r="AH942" s="282"/>
      <c r="AI942" s="282"/>
      <c r="AJ942" s="282"/>
      <c r="AK942" s="282"/>
      <c r="AL942" s="282"/>
      <c r="AM942" s="282"/>
    </row>
    <row r="943">
      <c r="AC943" s="282"/>
      <c r="AD943" s="282"/>
      <c r="AE943" s="282"/>
      <c r="AF943" s="282"/>
      <c r="AG943" s="282"/>
      <c r="AH943" s="282"/>
      <c r="AI943" s="282"/>
      <c r="AJ943" s="282"/>
      <c r="AK943" s="282"/>
      <c r="AL943" s="282"/>
      <c r="AM943" s="282"/>
    </row>
    <row r="944">
      <c r="AC944" s="282"/>
      <c r="AD944" s="282"/>
      <c r="AE944" s="282"/>
      <c r="AF944" s="282"/>
      <c r="AG944" s="282"/>
      <c r="AH944" s="282"/>
      <c r="AI944" s="282"/>
      <c r="AJ944" s="282"/>
      <c r="AK944" s="282"/>
      <c r="AL944" s="282"/>
      <c r="AM944" s="282"/>
    </row>
    <row r="945">
      <c r="AC945" s="282"/>
      <c r="AD945" s="282"/>
      <c r="AE945" s="282"/>
      <c r="AF945" s="282"/>
      <c r="AG945" s="282"/>
      <c r="AH945" s="282"/>
      <c r="AI945" s="282"/>
      <c r="AJ945" s="282"/>
      <c r="AK945" s="282"/>
      <c r="AL945" s="282"/>
      <c r="AM945" s="282"/>
    </row>
    <row r="946">
      <c r="AC946" s="282"/>
      <c r="AD946" s="282"/>
      <c r="AE946" s="282"/>
      <c r="AF946" s="282"/>
      <c r="AG946" s="282"/>
      <c r="AH946" s="282"/>
      <c r="AI946" s="282"/>
      <c r="AJ946" s="282"/>
      <c r="AK946" s="282"/>
      <c r="AL946" s="282"/>
      <c r="AM946" s="282"/>
    </row>
    <row r="947">
      <c r="AC947" s="282"/>
      <c r="AD947" s="282"/>
      <c r="AE947" s="282"/>
      <c r="AF947" s="282"/>
      <c r="AG947" s="282"/>
      <c r="AH947" s="282"/>
      <c r="AI947" s="282"/>
      <c r="AJ947" s="282"/>
      <c r="AK947" s="282"/>
      <c r="AL947" s="282"/>
      <c r="AM947" s="282"/>
    </row>
    <row r="948">
      <c r="AC948" s="282"/>
      <c r="AD948" s="282"/>
      <c r="AE948" s="282"/>
      <c r="AF948" s="282"/>
      <c r="AG948" s="282"/>
      <c r="AH948" s="282"/>
      <c r="AI948" s="282"/>
      <c r="AJ948" s="282"/>
      <c r="AK948" s="282"/>
      <c r="AL948" s="282"/>
      <c r="AM948" s="282"/>
    </row>
    <row r="949">
      <c r="AC949" s="282"/>
      <c r="AD949" s="282"/>
      <c r="AE949" s="282"/>
      <c r="AF949" s="282"/>
      <c r="AG949" s="282"/>
      <c r="AH949" s="282"/>
      <c r="AI949" s="282"/>
      <c r="AJ949" s="282"/>
      <c r="AK949" s="282"/>
      <c r="AL949" s="282"/>
      <c r="AM949" s="282"/>
    </row>
    <row r="950">
      <c r="AC950" s="282"/>
      <c r="AD950" s="282"/>
      <c r="AE950" s="282"/>
      <c r="AF950" s="282"/>
      <c r="AG950" s="282"/>
      <c r="AH950" s="282"/>
      <c r="AI950" s="282"/>
      <c r="AJ950" s="282"/>
      <c r="AK950" s="282"/>
      <c r="AL950" s="282"/>
      <c r="AM950" s="282"/>
    </row>
    <row r="951">
      <c r="AC951" s="282"/>
      <c r="AD951" s="282"/>
      <c r="AE951" s="282"/>
      <c r="AF951" s="282"/>
      <c r="AG951" s="282"/>
      <c r="AH951" s="282"/>
      <c r="AI951" s="282"/>
      <c r="AJ951" s="282"/>
      <c r="AK951" s="282"/>
      <c r="AL951" s="282"/>
      <c r="AM951" s="282"/>
    </row>
    <row r="952">
      <c r="AC952" s="282"/>
      <c r="AD952" s="282"/>
      <c r="AE952" s="282"/>
      <c r="AF952" s="282"/>
      <c r="AG952" s="282"/>
      <c r="AH952" s="282"/>
      <c r="AI952" s="282"/>
      <c r="AJ952" s="282"/>
      <c r="AK952" s="282"/>
      <c r="AL952" s="282"/>
      <c r="AM952" s="282"/>
    </row>
    <row r="953">
      <c r="AC953" s="282"/>
      <c r="AD953" s="282"/>
      <c r="AE953" s="282"/>
      <c r="AF953" s="282"/>
      <c r="AG953" s="282"/>
      <c r="AH953" s="282"/>
      <c r="AI953" s="282"/>
      <c r="AJ953" s="282"/>
      <c r="AK953" s="282"/>
      <c r="AL953" s="282"/>
      <c r="AM953" s="282"/>
    </row>
    <row r="954">
      <c r="AC954" s="282"/>
      <c r="AD954" s="282"/>
      <c r="AE954" s="282"/>
      <c r="AF954" s="282"/>
      <c r="AG954" s="282"/>
      <c r="AH954" s="282"/>
      <c r="AI954" s="282"/>
      <c r="AJ954" s="282"/>
      <c r="AK954" s="282"/>
      <c r="AL954" s="282"/>
      <c r="AM954" s="282"/>
    </row>
    <row r="955">
      <c r="AC955" s="282"/>
      <c r="AD955" s="282"/>
      <c r="AE955" s="282"/>
      <c r="AF955" s="282"/>
      <c r="AG955" s="282"/>
      <c r="AH955" s="282"/>
      <c r="AI955" s="282"/>
      <c r="AJ955" s="282"/>
      <c r="AK955" s="282"/>
      <c r="AL955" s="282"/>
      <c r="AM955" s="282"/>
    </row>
    <row r="956">
      <c r="AC956" s="282"/>
      <c r="AD956" s="282"/>
      <c r="AE956" s="282"/>
      <c r="AF956" s="282"/>
      <c r="AG956" s="282"/>
      <c r="AH956" s="282"/>
      <c r="AI956" s="282"/>
      <c r="AJ956" s="282"/>
      <c r="AK956" s="282"/>
      <c r="AL956" s="282"/>
      <c r="AM956" s="282"/>
    </row>
    <row r="957">
      <c r="AC957" s="282"/>
      <c r="AD957" s="282"/>
      <c r="AE957" s="282"/>
      <c r="AF957" s="282"/>
      <c r="AG957" s="282"/>
      <c r="AH957" s="282"/>
      <c r="AI957" s="282"/>
      <c r="AJ957" s="282"/>
      <c r="AK957" s="282"/>
      <c r="AL957" s="282"/>
      <c r="AM957" s="282"/>
    </row>
    <row r="958">
      <c r="AC958" s="282"/>
      <c r="AD958" s="282"/>
      <c r="AE958" s="282"/>
      <c r="AF958" s="282"/>
      <c r="AG958" s="282"/>
      <c r="AH958" s="282"/>
      <c r="AI958" s="282"/>
      <c r="AJ958" s="282"/>
      <c r="AK958" s="282"/>
      <c r="AL958" s="282"/>
      <c r="AM958" s="282"/>
    </row>
    <row r="959">
      <c r="AC959" s="282"/>
      <c r="AD959" s="282"/>
      <c r="AE959" s="282"/>
      <c r="AF959" s="282"/>
      <c r="AG959" s="282"/>
      <c r="AH959" s="282"/>
      <c r="AI959" s="282"/>
      <c r="AJ959" s="282"/>
      <c r="AK959" s="282"/>
      <c r="AL959" s="282"/>
      <c r="AM959" s="282"/>
    </row>
    <row r="960">
      <c r="AC960" s="282"/>
      <c r="AD960" s="282"/>
      <c r="AE960" s="282"/>
      <c r="AF960" s="282"/>
      <c r="AG960" s="282"/>
      <c r="AH960" s="282"/>
      <c r="AI960" s="282"/>
      <c r="AJ960" s="282"/>
      <c r="AK960" s="282"/>
      <c r="AL960" s="282"/>
      <c r="AM960" s="282"/>
    </row>
    <row r="961">
      <c r="AC961" s="282"/>
      <c r="AD961" s="282"/>
      <c r="AE961" s="282"/>
      <c r="AF961" s="282"/>
      <c r="AG961" s="282"/>
      <c r="AH961" s="282"/>
      <c r="AI961" s="282"/>
      <c r="AJ961" s="282"/>
      <c r="AK961" s="282"/>
      <c r="AL961" s="282"/>
      <c r="AM961" s="282"/>
    </row>
    <row r="962">
      <c r="AC962" s="282"/>
      <c r="AD962" s="282"/>
      <c r="AE962" s="282"/>
      <c r="AF962" s="282"/>
      <c r="AG962" s="282"/>
      <c r="AH962" s="282"/>
      <c r="AI962" s="282"/>
      <c r="AJ962" s="282"/>
      <c r="AK962" s="282"/>
      <c r="AL962" s="282"/>
      <c r="AM962" s="282"/>
    </row>
    <row r="963">
      <c r="AC963" s="282"/>
      <c r="AD963" s="282"/>
      <c r="AE963" s="282"/>
      <c r="AF963" s="282"/>
      <c r="AG963" s="282"/>
      <c r="AH963" s="282"/>
      <c r="AI963" s="282"/>
      <c r="AJ963" s="282"/>
      <c r="AK963" s="282"/>
      <c r="AL963" s="282"/>
      <c r="AM963" s="282"/>
    </row>
    <row r="964">
      <c r="AC964" s="282"/>
      <c r="AD964" s="282"/>
      <c r="AE964" s="282"/>
      <c r="AF964" s="282"/>
      <c r="AG964" s="282"/>
      <c r="AH964" s="282"/>
      <c r="AI964" s="282"/>
      <c r="AJ964" s="282"/>
      <c r="AK964" s="282"/>
      <c r="AL964" s="282"/>
      <c r="AM964" s="282"/>
    </row>
    <row r="965">
      <c r="AC965" s="282"/>
      <c r="AD965" s="282"/>
      <c r="AE965" s="282"/>
      <c r="AF965" s="282"/>
      <c r="AG965" s="282"/>
      <c r="AH965" s="282"/>
      <c r="AI965" s="282"/>
      <c r="AJ965" s="282"/>
      <c r="AK965" s="282"/>
      <c r="AL965" s="282"/>
      <c r="AM965" s="282"/>
    </row>
    <row r="966">
      <c r="AC966" s="282"/>
      <c r="AD966" s="282"/>
      <c r="AE966" s="282"/>
      <c r="AF966" s="282"/>
      <c r="AG966" s="282"/>
      <c r="AH966" s="282"/>
      <c r="AI966" s="282"/>
      <c r="AJ966" s="282"/>
      <c r="AK966" s="282"/>
      <c r="AL966" s="282"/>
      <c r="AM966" s="282"/>
    </row>
    <row r="967">
      <c r="AC967" s="282"/>
      <c r="AD967" s="282"/>
      <c r="AE967" s="282"/>
      <c r="AF967" s="282"/>
      <c r="AG967" s="282"/>
      <c r="AH967" s="282"/>
      <c r="AI967" s="282"/>
      <c r="AJ967" s="282"/>
      <c r="AK967" s="282"/>
      <c r="AL967" s="282"/>
      <c r="AM967" s="282"/>
    </row>
    <row r="968">
      <c r="AC968" s="282"/>
      <c r="AD968" s="282"/>
      <c r="AE968" s="282"/>
      <c r="AF968" s="282"/>
      <c r="AG968" s="282"/>
      <c r="AH968" s="282"/>
      <c r="AI968" s="282"/>
      <c r="AJ968" s="282"/>
      <c r="AK968" s="282"/>
      <c r="AL968" s="282"/>
      <c r="AM968" s="282"/>
    </row>
    <row r="969">
      <c r="AC969" s="282"/>
      <c r="AD969" s="282"/>
      <c r="AE969" s="282"/>
      <c r="AF969" s="282"/>
      <c r="AG969" s="282"/>
      <c r="AH969" s="282"/>
      <c r="AI969" s="282"/>
      <c r="AJ969" s="282"/>
      <c r="AK969" s="282"/>
      <c r="AL969" s="282"/>
      <c r="AM969" s="282"/>
    </row>
    <row r="970">
      <c r="AC970" s="282"/>
      <c r="AD970" s="282"/>
      <c r="AE970" s="282"/>
      <c r="AF970" s="282"/>
      <c r="AG970" s="282"/>
      <c r="AH970" s="282"/>
      <c r="AI970" s="282"/>
      <c r="AJ970" s="282"/>
      <c r="AK970" s="282"/>
      <c r="AL970" s="282"/>
      <c r="AM970" s="282"/>
    </row>
    <row r="971">
      <c r="AC971" s="282"/>
      <c r="AD971" s="282"/>
      <c r="AE971" s="282"/>
      <c r="AF971" s="282"/>
      <c r="AG971" s="282"/>
      <c r="AH971" s="282"/>
      <c r="AI971" s="282"/>
      <c r="AJ971" s="282"/>
      <c r="AK971" s="282"/>
      <c r="AL971" s="282"/>
      <c r="AM971" s="282"/>
    </row>
    <row r="972">
      <c r="AC972" s="282"/>
      <c r="AD972" s="282"/>
      <c r="AE972" s="282"/>
      <c r="AF972" s="282"/>
      <c r="AG972" s="282"/>
      <c r="AH972" s="282"/>
      <c r="AI972" s="282"/>
      <c r="AJ972" s="282"/>
      <c r="AK972" s="282"/>
      <c r="AL972" s="282"/>
      <c r="AM972" s="282"/>
    </row>
    <row r="973">
      <c r="AC973" s="282"/>
      <c r="AD973" s="282"/>
      <c r="AE973" s="282"/>
      <c r="AF973" s="282"/>
      <c r="AG973" s="282"/>
      <c r="AH973" s="282"/>
      <c r="AI973" s="282"/>
      <c r="AJ973" s="282"/>
      <c r="AK973" s="282"/>
      <c r="AL973" s="282"/>
      <c r="AM973" s="282"/>
    </row>
    <row r="974">
      <c r="AC974" s="282"/>
      <c r="AD974" s="282"/>
      <c r="AE974" s="282"/>
      <c r="AF974" s="282"/>
      <c r="AG974" s="282"/>
      <c r="AH974" s="282"/>
      <c r="AI974" s="282"/>
      <c r="AJ974" s="282"/>
      <c r="AK974" s="282"/>
      <c r="AL974" s="282"/>
      <c r="AM974" s="282"/>
    </row>
    <row r="975">
      <c r="AC975" s="282"/>
      <c r="AD975" s="282"/>
      <c r="AE975" s="282"/>
      <c r="AF975" s="282"/>
      <c r="AG975" s="282"/>
      <c r="AH975" s="282"/>
      <c r="AI975" s="282"/>
      <c r="AJ975" s="282"/>
      <c r="AK975" s="282"/>
      <c r="AL975" s="282"/>
      <c r="AM975" s="282"/>
    </row>
    <row r="976">
      <c r="AC976" s="282"/>
      <c r="AD976" s="282"/>
      <c r="AE976" s="282"/>
      <c r="AF976" s="282"/>
      <c r="AG976" s="282"/>
      <c r="AH976" s="282"/>
      <c r="AI976" s="282"/>
      <c r="AJ976" s="282"/>
      <c r="AK976" s="282"/>
      <c r="AL976" s="282"/>
      <c r="AM976" s="282"/>
    </row>
    <row r="977">
      <c r="AC977" s="282"/>
      <c r="AD977" s="282"/>
      <c r="AE977" s="282"/>
      <c r="AF977" s="282"/>
      <c r="AG977" s="282"/>
      <c r="AH977" s="282"/>
      <c r="AI977" s="282"/>
      <c r="AJ977" s="282"/>
      <c r="AK977" s="282"/>
      <c r="AL977" s="282"/>
      <c r="AM977" s="282"/>
    </row>
    <row r="978">
      <c r="AC978" s="282"/>
      <c r="AD978" s="282"/>
      <c r="AE978" s="282"/>
      <c r="AF978" s="282"/>
      <c r="AG978" s="282"/>
      <c r="AH978" s="282"/>
      <c r="AI978" s="282"/>
      <c r="AJ978" s="282"/>
      <c r="AK978" s="282"/>
      <c r="AL978" s="282"/>
      <c r="AM978" s="282"/>
    </row>
    <row r="979">
      <c r="AC979" s="282"/>
      <c r="AD979" s="282"/>
      <c r="AE979" s="282"/>
      <c r="AF979" s="282"/>
      <c r="AG979" s="282"/>
      <c r="AH979" s="282"/>
      <c r="AI979" s="282"/>
      <c r="AJ979" s="282"/>
      <c r="AK979" s="282"/>
      <c r="AL979" s="282"/>
      <c r="AM979" s="282"/>
    </row>
    <row r="980">
      <c r="AC980" s="282"/>
      <c r="AD980" s="282"/>
      <c r="AE980" s="282"/>
      <c r="AF980" s="282"/>
      <c r="AG980" s="282"/>
      <c r="AH980" s="282"/>
      <c r="AI980" s="282"/>
      <c r="AJ980" s="282"/>
      <c r="AK980" s="282"/>
      <c r="AL980" s="282"/>
      <c r="AM980" s="282"/>
    </row>
    <row r="981">
      <c r="AC981" s="282"/>
      <c r="AD981" s="282"/>
      <c r="AE981" s="282"/>
      <c r="AF981" s="282"/>
      <c r="AG981" s="282"/>
      <c r="AH981" s="282"/>
      <c r="AI981" s="282"/>
      <c r="AJ981" s="282"/>
      <c r="AK981" s="282"/>
      <c r="AL981" s="282"/>
      <c r="AM981" s="282"/>
    </row>
    <row r="982">
      <c r="AC982" s="282"/>
      <c r="AD982" s="282"/>
      <c r="AE982" s="282"/>
      <c r="AF982" s="282"/>
      <c r="AG982" s="282"/>
      <c r="AH982" s="282"/>
      <c r="AI982" s="282"/>
      <c r="AJ982" s="282"/>
      <c r="AK982" s="282"/>
      <c r="AL982" s="282"/>
      <c r="AM982" s="282"/>
    </row>
    <row r="983">
      <c r="AC983" s="282"/>
      <c r="AD983" s="282"/>
      <c r="AE983" s="282"/>
      <c r="AF983" s="282"/>
      <c r="AG983" s="282"/>
      <c r="AH983" s="282"/>
      <c r="AI983" s="282"/>
      <c r="AJ983" s="282"/>
      <c r="AK983" s="282"/>
      <c r="AL983" s="282"/>
      <c r="AM983" s="282"/>
    </row>
    <row r="984">
      <c r="AC984" s="282"/>
      <c r="AD984" s="282"/>
      <c r="AE984" s="282"/>
      <c r="AF984" s="282"/>
      <c r="AG984" s="282"/>
      <c r="AH984" s="282"/>
      <c r="AI984" s="282"/>
      <c r="AJ984" s="282"/>
      <c r="AK984" s="282"/>
      <c r="AL984" s="282"/>
      <c r="AM984" s="282"/>
    </row>
    <row r="985">
      <c r="AC985" s="282"/>
      <c r="AD985" s="282"/>
      <c r="AE985" s="282"/>
      <c r="AF985" s="282"/>
      <c r="AG985" s="282"/>
      <c r="AH985" s="282"/>
      <c r="AI985" s="282"/>
      <c r="AJ985" s="282"/>
      <c r="AK985" s="282"/>
      <c r="AL985" s="282"/>
      <c r="AM985" s="282"/>
    </row>
    <row r="986">
      <c r="AC986" s="282"/>
      <c r="AD986" s="282"/>
      <c r="AE986" s="282"/>
      <c r="AF986" s="282"/>
      <c r="AG986" s="282"/>
      <c r="AH986" s="282"/>
      <c r="AI986" s="282"/>
      <c r="AJ986" s="282"/>
      <c r="AK986" s="282"/>
      <c r="AL986" s="282"/>
      <c r="AM986" s="282"/>
    </row>
    <row r="987">
      <c r="AC987" s="282"/>
      <c r="AD987" s="282"/>
      <c r="AE987" s="282"/>
      <c r="AF987" s="282"/>
      <c r="AG987" s="282"/>
      <c r="AH987" s="282"/>
      <c r="AI987" s="282"/>
      <c r="AJ987" s="282"/>
      <c r="AK987" s="282"/>
      <c r="AL987" s="282"/>
      <c r="AM987" s="282"/>
    </row>
    <row r="988">
      <c r="AC988" s="282"/>
      <c r="AD988" s="282"/>
      <c r="AE988" s="282"/>
      <c r="AF988" s="282"/>
      <c r="AG988" s="282"/>
      <c r="AH988" s="282"/>
      <c r="AI988" s="282"/>
      <c r="AJ988" s="282"/>
      <c r="AK988" s="282"/>
      <c r="AL988" s="282"/>
      <c r="AM988" s="282"/>
    </row>
    <row r="989">
      <c r="AC989" s="282"/>
      <c r="AD989" s="282"/>
      <c r="AE989" s="282"/>
      <c r="AF989" s="282"/>
      <c r="AG989" s="282"/>
      <c r="AH989" s="282"/>
      <c r="AI989" s="282"/>
      <c r="AJ989" s="282"/>
      <c r="AK989" s="282"/>
      <c r="AL989" s="282"/>
      <c r="AM989" s="282"/>
    </row>
    <row r="990">
      <c r="AC990" s="282"/>
      <c r="AD990" s="282"/>
      <c r="AE990" s="282"/>
      <c r="AF990" s="282"/>
      <c r="AG990" s="282"/>
      <c r="AH990" s="282"/>
      <c r="AI990" s="282"/>
      <c r="AJ990" s="282"/>
      <c r="AK990" s="282"/>
      <c r="AL990" s="282"/>
      <c r="AM990" s="282"/>
    </row>
    <row r="991">
      <c r="AC991" s="282"/>
      <c r="AD991" s="282"/>
      <c r="AE991" s="282"/>
      <c r="AF991" s="282"/>
      <c r="AG991" s="282"/>
      <c r="AH991" s="282"/>
      <c r="AI991" s="282"/>
      <c r="AJ991" s="282"/>
      <c r="AK991" s="282"/>
      <c r="AL991" s="282"/>
      <c r="AM991" s="282"/>
    </row>
    <row r="992">
      <c r="AC992" s="282"/>
      <c r="AD992" s="282"/>
      <c r="AE992" s="282"/>
      <c r="AF992" s="282"/>
      <c r="AG992" s="282"/>
      <c r="AH992" s="282"/>
      <c r="AI992" s="282"/>
      <c r="AJ992" s="282"/>
      <c r="AK992" s="282"/>
      <c r="AL992" s="282"/>
      <c r="AM992" s="282"/>
    </row>
    <row r="993">
      <c r="AC993" s="282"/>
      <c r="AD993" s="282"/>
      <c r="AE993" s="282"/>
      <c r="AF993" s="282"/>
      <c r="AG993" s="282"/>
      <c r="AH993" s="282"/>
      <c r="AI993" s="282"/>
      <c r="AJ993" s="282"/>
      <c r="AK993" s="282"/>
      <c r="AL993" s="282"/>
      <c r="AM993" s="282"/>
    </row>
    <row r="994">
      <c r="AC994" s="282"/>
      <c r="AD994" s="282"/>
      <c r="AE994" s="282"/>
      <c r="AF994" s="282"/>
      <c r="AG994" s="282"/>
      <c r="AH994" s="282"/>
      <c r="AI994" s="282"/>
      <c r="AJ994" s="282"/>
      <c r="AK994" s="282"/>
      <c r="AL994" s="282"/>
      <c r="AM994" s="282"/>
    </row>
    <row r="995">
      <c r="AC995" s="282"/>
      <c r="AD995" s="282"/>
      <c r="AE995" s="282"/>
      <c r="AF995" s="282"/>
      <c r="AG995" s="282"/>
      <c r="AH995" s="282"/>
      <c r="AI995" s="282"/>
      <c r="AJ995" s="282"/>
      <c r="AK995" s="282"/>
      <c r="AL995" s="282"/>
      <c r="AM995" s="282"/>
    </row>
    <row r="996">
      <c r="AC996" s="282"/>
      <c r="AD996" s="282"/>
      <c r="AE996" s="282"/>
      <c r="AF996" s="282"/>
      <c r="AG996" s="282"/>
      <c r="AH996" s="282"/>
      <c r="AI996" s="282"/>
      <c r="AJ996" s="282"/>
      <c r="AK996" s="282"/>
      <c r="AL996" s="282"/>
      <c r="AM996" s="282"/>
    </row>
    <row r="997">
      <c r="AC997" s="282"/>
      <c r="AD997" s="282"/>
      <c r="AE997" s="282"/>
      <c r="AF997" s="282"/>
      <c r="AG997" s="282"/>
      <c r="AH997" s="282"/>
      <c r="AI997" s="282"/>
      <c r="AJ997" s="282"/>
      <c r="AK997" s="282"/>
      <c r="AL997" s="282"/>
      <c r="AM997" s="282"/>
    </row>
    <row r="998">
      <c r="AC998" s="282"/>
      <c r="AD998" s="282"/>
      <c r="AE998" s="282"/>
      <c r="AF998" s="282"/>
      <c r="AG998" s="282"/>
      <c r="AH998" s="282"/>
      <c r="AI998" s="282"/>
      <c r="AJ998" s="282"/>
      <c r="AK998" s="282"/>
      <c r="AL998" s="282"/>
      <c r="AM998" s="282"/>
    </row>
    <row r="999">
      <c r="AC999" s="282"/>
      <c r="AD999" s="282"/>
      <c r="AE999" s="282"/>
      <c r="AF999" s="282"/>
      <c r="AG999" s="282"/>
      <c r="AH999" s="282"/>
      <c r="AI999" s="282"/>
      <c r="AJ999" s="282"/>
      <c r="AK999" s="282"/>
      <c r="AL999" s="282"/>
      <c r="AM999" s="282"/>
    </row>
    <row r="1000">
      <c r="AC1000" s="282"/>
      <c r="AD1000" s="282"/>
      <c r="AE1000" s="282"/>
      <c r="AF1000" s="282"/>
      <c r="AG1000" s="282"/>
      <c r="AH1000" s="282"/>
      <c r="AI1000" s="282"/>
      <c r="AJ1000" s="282"/>
      <c r="AK1000" s="282"/>
      <c r="AL1000" s="282"/>
      <c r="AM1000" s="282"/>
    </row>
    <row r="1001">
      <c r="AC1001" s="282"/>
      <c r="AD1001" s="282"/>
      <c r="AE1001" s="282"/>
      <c r="AF1001" s="282"/>
      <c r="AG1001" s="282"/>
      <c r="AH1001" s="282"/>
      <c r="AI1001" s="282"/>
      <c r="AJ1001" s="282"/>
      <c r="AK1001" s="282"/>
      <c r="AL1001" s="282"/>
      <c r="AM1001" s="282"/>
    </row>
  </sheetData>
  <mergeCells count="24"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  <mergeCell ref="S1:U1"/>
    <mergeCell ref="V36:W36"/>
    <mergeCell ref="Y36:Z36"/>
    <mergeCell ref="AB36:AC36"/>
    <mergeCell ref="AE36:AF36"/>
    <mergeCell ref="AH36:AI36"/>
    <mergeCell ref="A36:B36"/>
    <mergeCell ref="D36:E36"/>
    <mergeCell ref="G36:H36"/>
    <mergeCell ref="J36:K36"/>
    <mergeCell ref="M36:N36"/>
    <mergeCell ref="P36:Q36"/>
    <mergeCell ref="S36:T36"/>
  </mergeCells>
  <hyperlinks>
    <hyperlink r:id="rId1" location="gid=1707432476" ref="A1"/>
    <hyperlink r:id="rId2" location="gid=1707432476" ref="D1"/>
    <hyperlink r:id="rId3" location="gid=1707432476" ref="G1"/>
    <hyperlink r:id="rId4" location="gid=1707432476" ref="J1"/>
    <hyperlink r:id="rId5" location="gid=1707432476" ref="M1"/>
    <hyperlink r:id="rId6" location="gid=1707432476" ref="P1"/>
    <hyperlink r:id="rId7" location="gid=1707432476" ref="S1"/>
    <hyperlink r:id="rId8" location="gid=1707432476" ref="V1"/>
    <hyperlink r:id="rId9" location="gid=1707432476" ref="Y1"/>
    <hyperlink r:id="rId10" location="gid=1707432476" ref="AB1"/>
    <hyperlink r:id="rId11" location="gid=1707432476" ref="AE1"/>
    <hyperlink r:id="rId12" ref="AH1"/>
  </hyperlinks>
  <drawing r:id="rId13"/>
</worksheet>
</file>