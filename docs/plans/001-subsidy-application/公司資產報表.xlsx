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wengshengkai/projects/side-project/NGEip/docs/plans/001-subsidy-application/"/>
    </mc:Choice>
  </mc:AlternateContent>
  <xr:revisionPtr revIDLastSave="0" documentId="13_ncr:1_{497C63D1-B63A-CF49-A011-F37594925851}" xr6:coauthVersionLast="47" xr6:coauthVersionMax="47" xr10:uidLastSave="{00000000-0000-0000-0000-000000000000}"/>
  <bookViews>
    <workbookView xWindow="0" yWindow="760" windowWidth="30240" windowHeight="17440" xr2:uid="{00000000-000D-0000-FFFF-FFFF00000000}"/>
  </bookViews>
  <sheets>
    <sheet name="個人筆電" sheetId="2" r:id="rId1"/>
    <sheet name="健檢補助" sheetId="3" r:id="rId2"/>
    <sheet name="進修課程" sheetId="4" r:id="rId3"/>
    <sheet name="旅遊補助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4" l="1"/>
  <c r="H117" i="4"/>
  <c r="H115" i="4"/>
  <c r="F113" i="4"/>
  <c r="H113" i="4" s="1"/>
  <c r="F112" i="4"/>
  <c r="H112" i="4" s="1"/>
  <c r="H111" i="4"/>
  <c r="H106" i="4"/>
  <c r="H105" i="4"/>
  <c r="H104" i="4"/>
  <c r="H103" i="4"/>
  <c r="H102" i="4"/>
  <c r="H101" i="4"/>
  <c r="H100" i="4"/>
  <c r="F97" i="4"/>
  <c r="H96" i="4"/>
  <c r="H94" i="4"/>
  <c r="H93" i="4"/>
  <c r="H92" i="4"/>
  <c r="H91" i="4"/>
  <c r="H90" i="4"/>
  <c r="H89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8" i="4"/>
  <c r="H67" i="4"/>
  <c r="H66" i="4"/>
  <c r="H65" i="4"/>
  <c r="H64" i="4"/>
  <c r="H63" i="4"/>
  <c r="H62" i="4"/>
  <c r="H61" i="4"/>
  <c r="H60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1" i="4"/>
  <c r="H30" i="4"/>
  <c r="H29" i="4"/>
  <c r="H27" i="4"/>
  <c r="H26" i="4"/>
  <c r="F22" i="4"/>
  <c r="H22" i="4" s="1"/>
  <c r="H21" i="4"/>
  <c r="H20" i="4"/>
  <c r="H19" i="4"/>
  <c r="H18" i="4"/>
  <c r="H17" i="4"/>
  <c r="H16" i="4"/>
  <c r="H15" i="4"/>
  <c r="H13" i="4"/>
  <c r="H12" i="4"/>
  <c r="H11" i="4"/>
  <c r="H10" i="4"/>
  <c r="H9" i="4"/>
  <c r="H8" i="4"/>
  <c r="H7" i="4"/>
  <c r="H4" i="4"/>
  <c r="H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6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 xml:space="preserve">43120
</t>
        </r>
      </text>
    </comment>
    <comment ref="B10" authorId="0" shapeId="0" xr:uid="{00000000-0006-0000-0100-000002000000}">
      <text>
        <r>
          <rPr>
            <sz val="10"/>
            <color rgb="FF000000"/>
            <rFont val="Arial"/>
            <family val="2"/>
            <scheme val="minor"/>
          </rPr>
          <t>54000</t>
        </r>
      </text>
    </comment>
    <comment ref="B12" authorId="0" shapeId="0" xr:uid="{00000000-0006-0000-0100-000003000000}">
      <text>
        <r>
          <rPr>
            <sz val="10"/>
            <color rgb="FF000000"/>
            <rFont val="Arial"/>
            <family val="2"/>
            <scheme val="minor"/>
          </rPr>
          <t>54000</t>
        </r>
      </text>
    </comment>
    <comment ref="B14" authorId="0" shapeId="0" xr:uid="{00000000-0006-0000-0100-000004000000}">
      <text>
        <r>
          <rPr>
            <sz val="10"/>
            <color rgb="FF000000"/>
            <rFont val="Arial"/>
            <family val="2"/>
            <scheme val="minor"/>
          </rPr>
          <t>42160</t>
        </r>
      </text>
    </comment>
    <comment ref="B16" authorId="0" shapeId="0" xr:uid="{00000000-0006-0000-0100-000005000000}">
      <text>
        <r>
          <rPr>
            <sz val="10"/>
            <color rgb="FF000000"/>
            <rFont val="Arial"/>
            <family val="2"/>
            <scheme val="minor"/>
          </rPr>
          <t>49715</t>
        </r>
      </text>
    </comment>
    <comment ref="B18" authorId="0" shapeId="0" xr:uid="{00000000-0006-0000-0100-000006000000}">
      <text>
        <r>
          <rPr>
            <sz val="10"/>
            <color rgb="FF000000"/>
            <rFont val="Arial"/>
            <family val="2"/>
            <scheme val="minor"/>
          </rPr>
          <t>36765</t>
        </r>
      </text>
    </comment>
    <comment ref="B20" authorId="0" shapeId="0" xr:uid="{00000000-0006-0000-0100-000007000000}">
      <text>
        <r>
          <rPr>
            <sz val="10"/>
            <color rgb="FF000000"/>
            <rFont val="Arial"/>
            <family val="2"/>
            <scheme val="minor"/>
          </rPr>
          <t>54000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3" authorId="0" shapeId="0" xr:uid="{00000000-0006-0000-0200-000001000000}">
      <text>
        <r>
          <rPr>
            <sz val="10"/>
            <color rgb="FF000000"/>
            <rFont val="Arial"/>
            <family val="2"/>
            <scheme val="minor"/>
          </rPr>
          <t xml:space="preserve">12000
</t>
        </r>
      </text>
    </comment>
    <comment ref="D5" authorId="0" shapeId="0" xr:uid="{00000000-0006-0000-0200-000002000000}">
      <text>
        <r>
          <rPr>
            <sz val="10"/>
            <color rgb="FF000000"/>
            <rFont val="Arial"/>
            <family val="2"/>
            <scheme val="minor"/>
          </rPr>
          <t>NT$3000，2024如果要申請$9000</t>
        </r>
      </text>
    </comment>
    <comment ref="E6" authorId="0" shapeId="0" xr:uid="{00000000-0006-0000-0200-000003000000}">
      <text>
        <r>
          <rPr>
            <sz val="10"/>
            <color rgb="FF000000"/>
            <rFont val="Arial"/>
            <family val="2"/>
            <scheme val="minor"/>
          </rPr>
          <t xml:space="preserve">12000
</t>
        </r>
      </text>
    </comment>
    <comment ref="E7" authorId="0" shapeId="0" xr:uid="{00000000-0006-0000-0200-000004000000}">
      <text>
        <r>
          <rPr>
            <sz val="10"/>
            <color rgb="FF000000"/>
            <rFont val="Arial"/>
            <family val="2"/>
            <scheme val="minor"/>
          </rPr>
          <t xml:space="preserve">12000
</t>
        </r>
      </text>
    </comment>
    <comment ref="C10" authorId="0" shapeId="0" xr:uid="{00000000-0006-0000-0200-000005000000}">
      <text>
        <r>
          <rPr>
            <sz val="10"/>
            <color rgb="FF000000"/>
            <rFont val="Arial"/>
            <family val="2"/>
            <scheme val="minor"/>
          </rPr>
          <t>NT$3000</t>
        </r>
      </text>
    </comment>
    <comment ref="E10" authorId="0" shapeId="0" xr:uid="{00000000-0006-0000-0200-000006000000}">
      <text>
        <r>
          <rPr>
            <sz val="10"/>
            <color rgb="FF000000"/>
            <rFont val="Arial"/>
            <family val="2"/>
            <scheme val="minor"/>
          </rPr>
          <t>$9960
剩餘 2040</t>
        </r>
      </text>
    </comment>
    <comment ref="F10" authorId="0" shapeId="0" xr:uid="{00000000-0006-0000-0200-000007000000}">
      <text>
        <r>
          <rPr>
            <sz val="10"/>
            <color rgb="FF000000"/>
            <rFont val="Arial"/>
            <family val="2"/>
            <scheme val="minor"/>
          </rPr>
          <t xml:space="preserve">$8040 
剩餘 $0
2025/12/1 已給付
</t>
        </r>
      </text>
    </comment>
    <comment ref="E12" authorId="0" shapeId="0" xr:uid="{00000000-0006-0000-0200-000008000000}">
      <text>
        <r>
          <rPr>
            <sz val="10"/>
            <color rgb="FF000000"/>
            <rFont val="Arial"/>
            <family val="2"/>
            <scheme val="minor"/>
          </rPr>
          <t xml:space="preserve">12000
</t>
        </r>
      </text>
    </comment>
    <comment ref="E14" authorId="0" shapeId="0" xr:uid="{00000000-0006-0000-0200-000009000000}">
      <text>
        <r>
          <rPr>
            <sz val="10"/>
            <color rgb="FF000000"/>
            <rFont val="Arial"/>
            <family val="2"/>
            <scheme val="minor"/>
          </rPr>
          <t>12000</t>
        </r>
      </text>
    </comment>
    <comment ref="C15" authorId="0" shapeId="0" xr:uid="{00000000-0006-0000-0200-00000A000000}">
      <text>
        <r>
          <rPr>
            <sz val="10"/>
            <color rgb="FF000000"/>
            <rFont val="Arial"/>
            <family val="2"/>
            <scheme val="minor"/>
          </rPr>
          <t>NT$3000</t>
        </r>
      </text>
    </comment>
    <comment ref="F19" authorId="0" shapeId="0" xr:uid="{00000000-0006-0000-0200-00000B000000}">
      <text>
        <r>
          <rPr>
            <sz val="10"/>
            <color rgb="FF000000"/>
            <rFont val="Arial"/>
            <family val="2"/>
            <scheme val="minor"/>
          </rPr>
          <t xml:space="preserve">12000
12/2已簽收現金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5" authorId="0" shapeId="0" xr:uid="{00000000-0006-0000-0300-000002000000}">
      <text>
        <r>
          <rPr>
            <sz val="10"/>
            <color rgb="FF000000"/>
            <rFont val="Arial"/>
            <family val="2"/>
          </rPr>
          <t xml:space="preserve">2021/9/1-2022/9/1
</t>
        </r>
        <r>
          <rPr>
            <sz val="10"/>
            <color rgb="FF000000"/>
            <rFont val="Arial"/>
            <family val="2"/>
          </rPr>
          <t xml:space="preserve">2022/9/1-2023/9/1
</t>
        </r>
        <r>
          <rPr>
            <sz val="10"/>
            <color rgb="FF000000"/>
            <rFont val="Arial"/>
            <family val="2"/>
          </rPr>
          <t>2023/9/1-2024/9/1</t>
        </r>
      </text>
    </comment>
    <comment ref="A29" authorId="0" shapeId="0" xr:uid="{00000000-0006-0000-0300-000005000000}">
      <text>
        <r>
          <rPr>
            <sz val="10"/>
            <color rgb="FF000000"/>
            <rFont val="Arial"/>
            <family val="2"/>
            <scheme val="minor"/>
          </rPr>
          <t xml:space="preserve">
2021/3/1-2022/3/1 不申請
2022/3/1-2023/3/1
2023/3/1-2024/3/1
2024/3/1-2025/3/1</t>
        </r>
      </text>
    </comment>
    <comment ref="C33" authorId="0" shapeId="0" xr:uid="{00000000-0006-0000-0300-000006000000}">
      <text>
        <r>
          <rPr>
            <sz val="10"/>
            <color rgb="FF000000"/>
            <rFont val="Arial"/>
            <family val="2"/>
            <scheme val="minor"/>
          </rPr>
          <t>新的開始</t>
        </r>
      </text>
    </comment>
    <comment ref="A54" authorId="0" shapeId="0" xr:uid="{00000000-0006-0000-0300-000007000000}">
      <text>
        <r>
          <rPr>
            <sz val="10"/>
            <color rgb="FF000000"/>
            <rFont val="Arial"/>
            <family val="2"/>
          </rPr>
          <t xml:space="preserve">2023/3/1  -  2024/3/1
</t>
        </r>
        <r>
          <rPr>
            <sz val="10"/>
            <color rgb="FF000000"/>
            <rFont val="Arial"/>
            <family val="2"/>
          </rPr>
          <t>2024/3/1 -  2025/3/1</t>
        </r>
      </text>
    </comment>
    <comment ref="H69" authorId="0" shapeId="0" xr:uid="{00000000-0006-0000-0300-000008000000}">
      <text>
        <r>
          <rPr>
            <sz val="10"/>
            <color rgb="FF000000"/>
            <rFont val="Arial"/>
            <family val="2"/>
            <scheme val="minor"/>
          </rPr>
          <t>申請單金額寫 3359, 剩餘 641 由公費支出</t>
        </r>
      </text>
    </comment>
    <comment ref="I69" authorId="0" shapeId="0" xr:uid="{00000000-0006-0000-0300-000009000000}">
      <text>
        <r>
          <rPr>
            <sz val="10"/>
            <color rgb="FF000000"/>
            <rFont val="Arial"/>
            <family val="2"/>
            <scheme val="minor"/>
          </rPr>
          <t xml:space="preserve">12/10 現金$641已簽收
</t>
        </r>
      </text>
    </comment>
    <comment ref="C82" authorId="0" shapeId="0" xr:uid="{00000000-0006-0000-0300-00000B000000}">
      <text>
        <r>
          <rPr>
            <sz val="10"/>
            <color rgb="FF000000"/>
            <rFont val="Arial"/>
            <family val="2"/>
            <scheme val="minor"/>
          </rPr>
          <t>達補助上限 $ 24,601
多的601移轉下年</t>
        </r>
      </text>
    </comment>
    <comment ref="A83" authorId="0" shapeId="0" xr:uid="{00000000-0006-0000-0300-00000C000000}">
      <text>
        <r>
          <rPr>
            <sz val="10"/>
            <color rgb="FF000000"/>
            <rFont val="Arial"/>
            <family val="2"/>
            <scheme val="minor"/>
          </rPr>
          <t>2023/2/10-2024/2/10
2024/2/10-2025/2/10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500-000001000000}">
      <text>
        <r>
          <rPr>
            <sz val="10"/>
            <color rgb="FF000000"/>
            <rFont val="Arial"/>
            <family val="2"/>
            <scheme val="minor"/>
          </rPr>
          <t>旅遊補助報馬來西亞</t>
        </r>
      </text>
    </comment>
    <comment ref="C2" authorId="0" shapeId="0" xr:uid="{00000000-0006-0000-0500-000002000000}">
      <text>
        <r>
          <rPr>
            <sz val="10"/>
            <color rgb="FF000000"/>
            <rFont val="Arial"/>
            <family val="2"/>
          </rPr>
          <t>2024/12/13</t>
        </r>
      </text>
    </comment>
    <comment ref="C4" authorId="0" shapeId="0" xr:uid="{00000000-0006-0000-0500-000003000000}">
      <text>
        <r>
          <rPr>
            <sz val="10"/>
            <color rgb="FF000000"/>
            <rFont val="Arial"/>
            <family val="2"/>
          </rPr>
          <t>2024/8/1</t>
        </r>
      </text>
    </comment>
    <comment ref="D4" authorId="0" shapeId="0" xr:uid="{00000000-0006-0000-0500-000004000000}">
      <text>
        <r>
          <rPr>
            <sz val="10"/>
            <color rgb="FF000000"/>
            <rFont val="Arial"/>
            <family val="2"/>
          </rPr>
          <t xml:space="preserve">7/11 </t>
        </r>
        <r>
          <rPr>
            <sz val="10"/>
            <color rgb="FF000000"/>
            <rFont val="Arial"/>
            <family val="2"/>
          </rPr>
          <t>申請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7/24 </t>
        </r>
        <r>
          <rPr>
            <sz val="10"/>
            <color rgb="FF000000"/>
            <rFont val="Arial"/>
            <family val="2"/>
          </rPr>
          <t>已給付</t>
        </r>
      </text>
    </comment>
    <comment ref="D7" authorId="0" shapeId="0" xr:uid="{00000000-0006-0000-0500-000005000000}">
      <text>
        <r>
          <rPr>
            <sz val="10"/>
            <color rgb="FF000000"/>
            <rFont val="Arial"/>
            <family val="2"/>
          </rPr>
          <t xml:space="preserve">11/13
</t>
        </r>
        <r>
          <rPr>
            <sz val="10"/>
            <color rgb="FF000000"/>
            <rFont val="Arial"/>
            <family val="2"/>
          </rPr>
          <t>12/1</t>
        </r>
        <r>
          <rPr>
            <sz val="10"/>
            <color rgb="FF000000"/>
            <rFont val="Arial"/>
            <family val="2"/>
          </rPr>
          <t>已給付</t>
        </r>
      </text>
    </comment>
    <comment ref="B9" authorId="0" shapeId="0" xr:uid="{00000000-0006-0000-0500-000006000000}">
      <text>
        <r>
          <rPr>
            <sz val="10"/>
            <color rgb="FF000000"/>
            <rFont val="Arial"/>
            <family val="2"/>
            <scheme val="minor"/>
          </rPr>
          <t xml:space="preserve">2022滿年
2022/2/1-2023/2/1
2023/2/1-2024/2/1
2024/2/1-2025/2/1(2024/12/24使用)
2025/2/1-2026/2/1
</t>
        </r>
      </text>
    </comment>
    <comment ref="C9" authorId="0" shapeId="0" xr:uid="{00000000-0006-0000-0500-000007000000}">
      <text>
        <r>
          <rPr>
            <sz val="10"/>
            <color rgb="FF000000"/>
            <rFont val="Arial"/>
            <family val="2"/>
            <scheme val="minor"/>
          </rPr>
          <t>2024/12/22</t>
        </r>
      </text>
    </comment>
    <comment ref="C11" authorId="0" shapeId="0" xr:uid="{00000000-0006-0000-0500-000008000000}">
      <text>
        <r>
          <rPr>
            <sz val="10"/>
            <color rgb="FF000000"/>
            <rFont val="Arial"/>
            <family val="2"/>
            <scheme val="minor"/>
          </rPr>
          <t>9/9</t>
        </r>
      </text>
    </comment>
    <comment ref="C13" authorId="0" shapeId="0" xr:uid="{00000000-0006-0000-0500-000009000000}">
      <text>
        <r>
          <rPr>
            <sz val="10"/>
            <color rgb="FF000000"/>
            <rFont val="Arial"/>
            <family val="2"/>
            <scheme val="minor"/>
          </rPr>
          <t>2024/4/6</t>
        </r>
      </text>
    </comment>
    <comment ref="D19" authorId="0" shapeId="0" xr:uid="{00000000-0006-0000-0500-00000A000000}">
      <text>
        <r>
          <rPr>
            <sz val="10"/>
            <color rgb="FF000000"/>
            <rFont val="Arial"/>
            <family val="2"/>
            <scheme val="minor"/>
          </rPr>
          <t xml:space="preserve">8/18 申請
9/2 已給付
</t>
        </r>
      </text>
    </comment>
    <comment ref="D21" authorId="0" shapeId="0" xr:uid="{00000000-0006-0000-0500-00000B000000}">
      <text>
        <r>
          <rPr>
            <sz val="10"/>
            <color rgb="FF000000"/>
            <rFont val="Arial"/>
            <family val="2"/>
            <scheme val="minor"/>
          </rPr>
          <t xml:space="preserve">9/2 申請
9/23 已給付
</t>
        </r>
      </text>
    </comment>
    <comment ref="D22" authorId="0" shapeId="0" xr:uid="{00000000-0006-0000-0500-00000C000000}">
      <text>
        <r>
          <rPr>
            <sz val="10"/>
            <color rgb="FF000000"/>
            <rFont val="Arial"/>
            <family val="2"/>
            <scheme val="minor"/>
          </rPr>
          <t xml:space="preserve">6/17
</t>
        </r>
      </text>
    </comment>
    <comment ref="C24" authorId="0" shapeId="0" xr:uid="{00000000-0006-0000-0500-00000D000000}">
      <text>
        <r>
          <rPr>
            <sz val="10"/>
            <color rgb="FF000000"/>
            <rFont val="Arial"/>
            <family val="2"/>
            <scheme val="minor"/>
          </rPr>
          <t>8/31</t>
        </r>
      </text>
    </comment>
    <comment ref="D31" authorId="0" shapeId="0" xr:uid="{00000000-0006-0000-0500-00000E000000}">
      <text>
        <r>
          <rPr>
            <sz val="10"/>
            <color rgb="FF000000"/>
            <rFont val="Arial"/>
            <family val="2"/>
            <scheme val="minor"/>
          </rPr>
          <t xml:space="preserve">11/5 申請
12/1 已給付
</t>
        </r>
      </text>
    </comment>
    <comment ref="D32" authorId="0" shapeId="0" xr:uid="{00000000-0006-0000-0500-00000F000000}">
      <text>
        <r>
          <rPr>
            <sz val="10"/>
            <color rgb="FF000000"/>
            <rFont val="Arial"/>
            <family val="2"/>
            <scheme val="minor"/>
          </rPr>
          <t>9/2 申請
10/8 已給付</t>
        </r>
      </text>
    </comment>
    <comment ref="D33" authorId="0" shapeId="0" xr:uid="{00000000-0006-0000-0500-000010000000}">
      <text>
        <r>
          <rPr>
            <sz val="10"/>
            <color rgb="FF000000"/>
            <rFont val="Arial"/>
            <family val="2"/>
            <scheme val="minor"/>
          </rPr>
          <t xml:space="preserve">9/24 申請
114/10/8 已給付
</t>
        </r>
      </text>
    </comment>
  </commentList>
</comments>
</file>

<file path=xl/sharedStrings.xml><?xml version="1.0" encoding="utf-8"?>
<sst xmlns="http://schemas.openxmlformats.org/spreadsheetml/2006/main" count="298" uniqueCount="141">
  <si>
    <t>洪廷宇</t>
  </si>
  <si>
    <t>李宗翰</t>
  </si>
  <si>
    <t>陳正信</t>
  </si>
  <si>
    <t>葉純宇</t>
  </si>
  <si>
    <t>簡珮珊</t>
  </si>
  <si>
    <t>鄧仕良</t>
  </si>
  <si>
    <t>陳玟宇</t>
  </si>
  <si>
    <t>田凱卉</t>
  </si>
  <si>
    <t>湯富宇</t>
  </si>
  <si>
    <t>莊栢瑞</t>
  </si>
  <si>
    <t>徐世杰</t>
  </si>
  <si>
    <t>鄭淯心</t>
  </si>
  <si>
    <t>何宇翔</t>
  </si>
  <si>
    <t>徐嘉言</t>
  </si>
  <si>
    <t>陳凱翔</t>
  </si>
  <si>
    <t>吳奇燊</t>
  </si>
  <si>
    <t>何叡昇</t>
  </si>
  <si>
    <t>王庭恩</t>
  </si>
  <si>
    <t>李威辰</t>
  </si>
  <si>
    <t>彭志全</t>
  </si>
  <si>
    <t>陳瑤芝</t>
  </si>
  <si>
    <t>凃皓景</t>
  </si>
  <si>
    <t>周棋</t>
  </si>
  <si>
    <t>成天惠</t>
  </si>
  <si>
    <t>陳毅豪</t>
  </si>
  <si>
    <t>黃郁綺</t>
  </si>
  <si>
    <t>許惟棠</t>
  </si>
  <si>
    <t>侯蘊芸</t>
  </si>
  <si>
    <t>黃祿芸</t>
  </si>
  <si>
    <t>張修豪</t>
  </si>
  <si>
    <t>林佩蓁</t>
  </si>
  <si>
    <t>方宜姍</t>
  </si>
  <si>
    <t>林承翰</t>
  </si>
  <si>
    <t>張巧儒</t>
  </si>
  <si>
    <t>孫雅亭</t>
  </si>
  <si>
    <t>吳思昀</t>
  </si>
  <si>
    <t>蕭逸芬</t>
  </si>
  <si>
    <t>胡裕晟</t>
  </si>
  <si>
    <t>陳力卉</t>
  </si>
  <si>
    <t>陳羽絹</t>
  </si>
  <si>
    <t>李智鈞</t>
  </si>
  <si>
    <t>張珉豪</t>
  </si>
  <si>
    <t>鄭仲智</t>
  </si>
  <si>
    <t>林沛珊</t>
  </si>
  <si>
    <t>蔡彣山</t>
  </si>
  <si>
    <t>期數</t>
  </si>
  <si>
    <t>姓名</t>
  </si>
  <si>
    <t>發票金額</t>
  </si>
  <si>
    <t>-</t>
  </si>
  <si>
    <t>領取日期</t>
  </si>
  <si>
    <t>金額</t>
  </si>
  <si>
    <t>翁聖凱</t>
  </si>
  <si>
    <t>張叔安</t>
  </si>
  <si>
    <t>到職日</t>
  </si>
  <si>
    <t>申請日期</t>
  </si>
  <si>
    <t>課程名稱</t>
  </si>
  <si>
    <t>車馬費</t>
  </si>
  <si>
    <t>住宿</t>
  </si>
  <si>
    <t>申請金額</t>
  </si>
  <si>
    <t>核發日期</t>
  </si>
  <si>
    <t>MWC 軟體開發者的年度技術嘉年華</t>
  </si>
  <si>
    <t>GitHub Copilot 協作開發實戰</t>
  </si>
  <si>
    <t>DevOpsDays Taipei 2024</t>
  </si>
  <si>
    <t>實戰 E2E 測試：使用 Playwright 測試框架</t>
  </si>
  <si>
    <t>Agile Summit 2023</t>
  </si>
  <si>
    <t>掌握 AI 驅動的終端機： GitHub Copilot CLI 深度實戰</t>
  </si>
  <si>
    <t>SQL Server 高可用性與災害復原</t>
  </si>
  <si>
    <t>SQL Server 高效能開發密技</t>
  </si>
  <si>
    <t>SQL Sever Alwayson 故障處理與效能調整</t>
  </si>
  <si>
    <t>DevOpsDays Taipei 2023</t>
  </si>
  <si>
    <t>問對問題，設計你的解決方案</t>
  </si>
  <si>
    <t>K8s 新手村一日逃脫術</t>
  </si>
  <si>
    <t>DevOpsDays Taipei 2025(3天)</t>
  </si>
  <si>
    <t>AI 程式設計代理人開發全攻略:從入門到實戰</t>
  </si>
  <si>
    <t>規格驅動開發實戰:AI 時代的軟體開發新典範</t>
  </si>
  <si>
    <t>如何以探索性作法高效測試</t>
  </si>
  <si>
    <t>不確定時代下的敏捷測試</t>
  </si>
  <si>
    <t>Pluralsight</t>
  </si>
  <si>
    <t>精通LINQPad8開發工具</t>
  </si>
  <si>
    <t>Clean Architecture in .NET</t>
  </si>
  <si>
    <t>Dependency Injection in .NET</t>
  </si>
  <si>
    <t>Pragmatic Clean Architecture + Community Access</t>
  </si>
  <si>
    <t>Modular Monolith Architecture + Community Access</t>
  </si>
  <si>
    <t>那些開發 ASP.NET Core 會用到的 C# 語言特性</t>
  </si>
  <si>
    <t>C# 零基礎到精通 C# Zero To Master</t>
  </si>
  <si>
    <t>C#開發實戰：非同步程式開發技巧</t>
  </si>
  <si>
    <t>實戰實戰 API 測試：使用 Postman 測試工具</t>
  </si>
  <si>
    <t>GitHub Copilot 進階開發實戰</t>
  </si>
  <si>
    <t>pragmatic REST APIs + Community</t>
  </si>
  <si>
    <t>精準解析 Entity Framework Core 基礎篇</t>
  </si>
  <si>
    <t>精準解析 Entity Framework Core 進階篇</t>
  </si>
  <si>
    <t>全面掌握GitHub Copilot 代理人模式 :打造專屬AI開發助手</t>
  </si>
  <si>
    <t>OpenAI Codex CLI 代理人開發全攻略：從入門到實戰</t>
  </si>
  <si>
    <t>2025 年 NotebookLM 全新功能探索</t>
  </si>
  <si>
    <t>深入理解 Prompts 與 Instructions 的應用技巧</t>
  </si>
  <si>
    <t>寫出簡潔程式碼</t>
  </si>
  <si>
    <t>AI 時代下的系統分析與設計的 7 堂課（第二堂）</t>
  </si>
  <si>
    <t>AI Coding 實作工作坊</t>
  </si>
  <si>
    <t>規格驅動開發實戰：AI 時代的軟體開發新典範</t>
  </si>
  <si>
    <t>Design Patterns這樣學就會了–進階實作班</t>
  </si>
  <si>
    <t xml:space="preserve">Pragmatic Clean Architecture </t>
  </si>
  <si>
    <t>開發微軟SQL Server 2019與2022資料庫</t>
  </si>
  <si>
    <t>如何寫出人人有共識的需求 - 範例描述需求篇</t>
  </si>
  <si>
    <t>證照考試 CLF-C02 AWS Certified Cloud Practitioner</t>
  </si>
  <si>
    <t>證照考試 SAA-C03 AWS Certified Solutions Architect - Associate</t>
  </si>
  <si>
    <t xml:space="preserve"> AWS Associate Bundle</t>
  </si>
  <si>
    <t>證照 AWS Certified Developer  Associate DVA-C02</t>
  </si>
  <si>
    <t>證照 AWS Certified SysOps Administrator - Associate SOA-C02</t>
  </si>
  <si>
    <t>一小時no-code自製克服機器人GTP</t>
  </si>
  <si>
    <t>精準掌握GTPS的Actions開發技巧</t>
  </si>
  <si>
    <t>例外處理實戰</t>
  </si>
  <si>
    <t>程式碼的煉金術</t>
  </si>
  <si>
    <t>輕鬆學會物件導向</t>
  </si>
  <si>
    <t>從相依倒注入-基礎、進階</t>
  </si>
  <si>
    <t>強勢回歸! 探討你可能不知道的SQL Server PART 2024</t>
  </si>
  <si>
    <t>C# 開發實戰：非同步程式開發技巧</t>
  </si>
  <si>
    <t>決戰設計模式</t>
  </si>
  <si>
    <t>DevOpsDays Taipei</t>
  </si>
  <si>
    <t>領域驅動的產品價值需求與分析-初探領域故事話</t>
  </si>
  <si>
    <t>精準解析 Entity Framewor</t>
  </si>
  <si>
    <t xml:space="preserve"> LINQ Essential</t>
  </si>
  <si>
    <r>
      <rPr>
        <sz val="10"/>
        <color rgb="FF000000"/>
        <rFont val="Arial"/>
        <family val="2"/>
      </rPr>
      <t>SQL Sever Alwayson 故障處理與效能調整</t>
    </r>
  </si>
  <si>
    <t>DevDaysAsia2025</t>
  </si>
  <si>
    <t>SQL Server 2025 : 重點新功能解析與實務應用</t>
  </si>
  <si>
    <t>勇闖非同步程式設計-進階篇</t>
  </si>
  <si>
    <t>C# 開發實戰 :非同步程式開發技巧</t>
  </si>
  <si>
    <r>
      <rPr>
        <sz val="10"/>
        <color rgb="FF000000"/>
        <rFont val="Arial"/>
        <family val="2"/>
      </rPr>
      <t>SQL Sever Alwayson 故障處理與效能調整</t>
    </r>
  </si>
  <si>
    <t xml:space="preserve"> SQL Server 2025 : 重點新功能解析與實務應用</t>
  </si>
  <si>
    <t>DevDays Asia 2025亞太技術年會</t>
  </si>
  <si>
    <t>如何寫出人人有共識的需求-範例描述需求篇、
開立有效測試個案的系統性做法</t>
  </si>
  <si>
    <r>
      <rPr>
        <sz val="10"/>
        <color rgb="FF000000"/>
        <rFont val="Arial"/>
        <family val="2"/>
      </rPr>
      <t>SQL Sever Alwayson 故障處理與效能調整</t>
    </r>
  </si>
  <si>
    <t xml:space="preserve">張修豪	</t>
  </si>
  <si>
    <t>github copilot 入門到進階</t>
  </si>
  <si>
    <t>PMP國際專案管理訓練班</t>
  </si>
  <si>
    <t>SQLPASSTW</t>
  </si>
  <si>
    <t>DevDays Asia 2025</t>
  </si>
  <si>
    <t>標示說明</t>
  </si>
  <si>
    <t>已核發</t>
  </si>
  <si>
    <t>申請中</t>
  </si>
  <si>
    <t>已申請未簽核</t>
  </si>
  <si>
    <t>已使用員旅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</si>
</sst>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yyyy&quot;/&quot;m&quot;/&quot;d"/>
    <numFmt numFmtId="178" formatCode="yyyy&quot;/&quot;mm&quot;/&quot;dd"/>
  </numFmts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trike/>
      <sz val="10"/>
      <color theme="1"/>
      <name val="Arial"/>
      <family val="2"/>
      <scheme val="minor"/>
    </font>
    <font>
      <sz val="16"/>
      <color theme="1"/>
      <name val="Arial"/>
      <family val="2"/>
      <scheme val="minor"/>
    </font>
    <font>
      <sz val="16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14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F9900"/>
        <bgColor rgb="FFFF9900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/>
    <xf numFmtId="14" fontId="1" fillId="3" borderId="1" xfId="0" applyNumberFormat="1" applyFont="1" applyFill="1" applyBorder="1"/>
    <xf numFmtId="0" fontId="1" fillId="2" borderId="1" xfId="0" applyFont="1" applyFill="1" applyBorder="1"/>
    <xf numFmtId="0" fontId="1" fillId="0" borderId="1" xfId="0" applyFont="1" applyBorder="1"/>
    <xf numFmtId="0" fontId="1" fillId="5" borderId="1" xfId="0" applyFont="1" applyFill="1" applyBorder="1"/>
    <xf numFmtId="14" fontId="1" fillId="0" borderId="1" xfId="0" applyNumberFormat="1" applyFont="1" applyBorder="1"/>
    <xf numFmtId="14" fontId="1" fillId="4" borderId="1" xfId="0" applyNumberFormat="1" applyFont="1" applyFill="1" applyBorder="1"/>
    <xf numFmtId="0" fontId="1" fillId="0" borderId="2" xfId="0" applyFont="1" applyBorder="1" applyAlignment="1">
      <alignment horizontal="left" vertical="center"/>
    </xf>
    <xf numFmtId="0" fontId="1" fillId="0" borderId="2" xfId="0" applyFont="1" applyBorder="1"/>
    <xf numFmtId="0" fontId="5" fillId="6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3" fontId="1" fillId="3" borderId="2" xfId="0" applyNumberFormat="1" applyFont="1" applyFill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76" fontId="1" fillId="3" borderId="1" xfId="0" applyNumberFormat="1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9" xfId="0" applyNumberFormat="1" applyFont="1" applyBorder="1" applyAlignment="1">
      <alignment horizontal="center"/>
    </xf>
    <xf numFmtId="14" fontId="1" fillId="4" borderId="9" xfId="0" applyNumberFormat="1" applyFont="1" applyFill="1" applyBorder="1" applyAlignment="1">
      <alignment horizontal="center"/>
    </xf>
    <xf numFmtId="0" fontId="1" fillId="0" borderId="9" xfId="0" applyFont="1" applyBorder="1"/>
    <xf numFmtId="0" fontId="1" fillId="0" borderId="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0" borderId="11" xfId="0" applyFont="1" applyBorder="1"/>
    <xf numFmtId="0" fontId="1" fillId="0" borderId="9" xfId="0" applyFont="1" applyBorder="1" applyAlignment="1">
      <alignment horizontal="center"/>
    </xf>
    <xf numFmtId="177" fontId="1" fillId="0" borderId="9" xfId="0" applyNumberFormat="1" applyFont="1" applyBorder="1" applyAlignment="1">
      <alignment horizontal="center"/>
    </xf>
    <xf numFmtId="0" fontId="1" fillId="0" borderId="4" xfId="0" applyFont="1" applyBorder="1"/>
    <xf numFmtId="0" fontId="1" fillId="0" borderId="0" xfId="0" applyFont="1"/>
    <xf numFmtId="0" fontId="2" fillId="0" borderId="1" xfId="0" applyFont="1" applyBorder="1"/>
    <xf numFmtId="1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2" fillId="0" borderId="2" xfId="0" applyFont="1" applyBorder="1" applyAlignment="1">
      <alignment vertical="center"/>
    </xf>
    <xf numFmtId="14" fontId="2" fillId="0" borderId="2" xfId="0" applyNumberFormat="1" applyFont="1" applyBorder="1" applyAlignment="1">
      <alignment horizontal="left" vertical="center"/>
    </xf>
    <xf numFmtId="0" fontId="2" fillId="4" borderId="1" xfId="0" applyFont="1" applyFill="1" applyBorder="1"/>
    <xf numFmtId="0" fontId="1" fillId="0" borderId="0" xfId="0" applyFont="1" applyAlignment="1">
      <alignment horizontal="left"/>
    </xf>
    <xf numFmtId="14" fontId="1" fillId="0" borderId="2" xfId="0" applyNumberFormat="1" applyFont="1" applyBorder="1" applyAlignment="1">
      <alignment horizontal="left" vertical="center"/>
    </xf>
    <xf numFmtId="178" fontId="10" fillId="0" borderId="1" xfId="0" applyNumberFormat="1" applyFont="1" applyBorder="1"/>
    <xf numFmtId="0" fontId="10" fillId="0" borderId="1" xfId="0" applyFont="1" applyBorder="1"/>
    <xf numFmtId="0" fontId="10" fillId="0" borderId="6" xfId="0" applyFont="1" applyBorder="1"/>
    <xf numFmtId="0" fontId="9" fillId="0" borderId="1" xfId="0" applyFont="1" applyBorder="1"/>
    <xf numFmtId="0" fontId="9" fillId="0" borderId="6" xfId="0" applyFont="1" applyBorder="1" applyAlignment="1">
      <alignment horizontal="right"/>
    </xf>
    <xf numFmtId="0" fontId="9" fillId="0" borderId="2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9" fillId="0" borderId="1" xfId="0" applyFont="1" applyBorder="1" applyAlignment="1">
      <alignment vertical="center"/>
    </xf>
    <xf numFmtId="14" fontId="1" fillId="0" borderId="1" xfId="0" applyNumberFormat="1" applyFont="1" applyBorder="1" applyAlignment="1">
      <alignment horizontal="left" vertical="center"/>
    </xf>
    <xf numFmtId="178" fontId="10" fillId="3" borderId="1" xfId="0" applyNumberFormat="1" applyFont="1" applyFill="1" applyBorder="1"/>
    <xf numFmtId="0" fontId="10" fillId="3" borderId="1" xfId="0" applyFont="1" applyFill="1" applyBorder="1"/>
    <xf numFmtId="178" fontId="1" fillId="3" borderId="1" xfId="0" applyNumberFormat="1" applyFont="1" applyFill="1" applyBorder="1" applyAlignment="1">
      <alignment vertical="center"/>
    </xf>
    <xf numFmtId="0" fontId="1" fillId="4" borderId="1" xfId="0" applyFont="1" applyFill="1" applyBorder="1"/>
    <xf numFmtId="0" fontId="2" fillId="4" borderId="6" xfId="0" applyFont="1" applyFill="1" applyBorder="1" applyAlignment="1">
      <alignment horizontal="right"/>
    </xf>
    <xf numFmtId="178" fontId="1" fillId="0" borderId="1" xfId="0" applyNumberFormat="1" applyFont="1" applyBorder="1"/>
    <xf numFmtId="0" fontId="1" fillId="0" borderId="6" xfId="0" applyFont="1" applyBorder="1"/>
    <xf numFmtId="178" fontId="2" fillId="0" borderId="1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0" fontId="2" fillId="0" borderId="6" xfId="0" applyFont="1" applyBorder="1"/>
    <xf numFmtId="0" fontId="2" fillId="0" borderId="1" xfId="0" applyFont="1" applyBorder="1" applyAlignment="1">
      <alignment horizontal="right"/>
    </xf>
    <xf numFmtId="14" fontId="2" fillId="0" borderId="1" xfId="0" applyNumberFormat="1" applyFont="1" applyBorder="1"/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78" fontId="1" fillId="0" borderId="1" xfId="0" applyNumberFormat="1" applyFont="1" applyBorder="1" applyAlignment="1">
      <alignment vertical="center"/>
    </xf>
    <xf numFmtId="0" fontId="4" fillId="0" borderId="0" xfId="0" applyFont="1"/>
    <xf numFmtId="0" fontId="9" fillId="3" borderId="1" xfId="0" applyFont="1" applyFill="1" applyBorder="1" applyAlignment="1">
      <alignment horizontal="left" vertical="center"/>
    </xf>
    <xf numFmtId="14" fontId="9" fillId="3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178" fontId="10" fillId="0" borderId="2" xfId="0" applyNumberFormat="1" applyFont="1" applyBorder="1"/>
    <xf numFmtId="178" fontId="10" fillId="4" borderId="2" xfId="0" applyNumberFormat="1" applyFont="1" applyFill="1" applyBorder="1"/>
    <xf numFmtId="0" fontId="10" fillId="4" borderId="1" xfId="0" applyFont="1" applyFill="1" applyBorder="1"/>
    <xf numFmtId="178" fontId="10" fillId="3" borderId="2" xfId="0" applyNumberFormat="1" applyFont="1" applyFill="1" applyBorder="1" applyAlignment="1">
      <alignment vertical="center"/>
    </xf>
    <xf numFmtId="178" fontId="10" fillId="3" borderId="4" xfId="0" applyNumberFormat="1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left" vertical="center"/>
    </xf>
    <xf numFmtId="178" fontId="1" fillId="3" borderId="1" xfId="0" applyNumberFormat="1" applyFont="1" applyFill="1" applyBorder="1"/>
    <xf numFmtId="0" fontId="1" fillId="3" borderId="0" xfId="0" applyFont="1" applyFill="1" applyAlignment="1">
      <alignment horizontal="left"/>
    </xf>
    <xf numFmtId="0" fontId="2" fillId="0" borderId="1" xfId="0" applyFont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178" fontId="1" fillId="0" borderId="0" xfId="0" applyNumberFormat="1" applyFont="1"/>
    <xf numFmtId="0" fontId="1" fillId="4" borderId="1" xfId="0" applyFont="1" applyFill="1" applyBorder="1" applyAlignment="1">
      <alignment horizontal="left"/>
    </xf>
    <xf numFmtId="0" fontId="1" fillId="7" borderId="0" xfId="0" applyFont="1" applyFill="1"/>
    <xf numFmtId="14" fontId="1" fillId="4" borderId="1" xfId="0" applyNumberFormat="1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3" fillId="0" borderId="4" xfId="0" applyFont="1" applyBorder="1"/>
    <xf numFmtId="3" fontId="1" fillId="0" borderId="8" xfId="0" applyNumberFormat="1" applyFont="1" applyBorder="1" applyAlignment="1">
      <alignment horizontal="center" vertical="center"/>
    </xf>
    <xf numFmtId="0" fontId="3" fillId="0" borderId="10" xfId="0" applyFont="1" applyBorder="1"/>
    <xf numFmtId="3" fontId="1" fillId="0" borderId="2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14" fontId="1" fillId="0" borderId="2" xfId="0" applyNumberFormat="1" applyFont="1" applyBorder="1" applyAlignment="1">
      <alignment horizontal="left" vertical="center"/>
    </xf>
    <xf numFmtId="0" fontId="3" fillId="0" borderId="3" xfId="0" applyFont="1" applyBorder="1"/>
    <xf numFmtId="178" fontId="1" fillId="0" borderId="2" xfId="0" applyNumberFormat="1" applyFont="1" applyBorder="1" applyAlignment="1">
      <alignment vertical="center"/>
    </xf>
    <xf numFmtId="0" fontId="2" fillId="0" borderId="2" xfId="0" applyFont="1" applyBorder="1" applyAlignment="1">
      <alignment horizontal="left" vertical="center"/>
    </xf>
    <xf numFmtId="178" fontId="1" fillId="4" borderId="2" xfId="0" applyNumberFormat="1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/>
    </xf>
    <xf numFmtId="14" fontId="1" fillId="3" borderId="2" xfId="0" applyNumberFormat="1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vertical="center"/>
    </xf>
    <xf numFmtId="0" fontId="8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178" fontId="7" fillId="0" borderId="2" xfId="0" applyNumberFormat="1" applyFont="1" applyBorder="1" applyAlignment="1">
      <alignment vertical="center"/>
    </xf>
    <xf numFmtId="0" fontId="1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14" fontId="2" fillId="0" borderId="2" xfId="0" applyNumberFormat="1" applyFont="1" applyBorder="1" applyAlignment="1">
      <alignment horizontal="left" vertical="center"/>
    </xf>
    <xf numFmtId="14" fontId="9" fillId="0" borderId="2" xfId="0" applyNumberFormat="1" applyFont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78" fontId="1" fillId="3" borderId="2" xfId="0" applyNumberFormat="1" applyFont="1" applyFill="1" applyBorder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M21"/>
  <sheetViews>
    <sheetView tabSelected="1" workbookViewId="0">
      <pane ySplit="1" topLeftCell="A2" activePane="bottomLeft" state="frozen"/>
      <selection pane="bottomLeft" activeCell="D31" sqref="D31"/>
    </sheetView>
  </sheetViews>
  <sheetFormatPr baseColWidth="10" defaultColWidth="12.6640625" defaultRowHeight="15.75" customHeight="1" x14ac:dyDescent="0.15"/>
  <sheetData>
    <row r="1" spans="1:39" ht="20" x14ac:dyDescent="0.15">
      <c r="A1" s="12" t="s">
        <v>45</v>
      </c>
      <c r="B1" s="12" t="s">
        <v>45</v>
      </c>
      <c r="C1" s="13"/>
      <c r="D1" s="14">
        <v>1</v>
      </c>
      <c r="E1" s="14">
        <v>2</v>
      </c>
      <c r="F1" s="14">
        <v>3</v>
      </c>
      <c r="G1" s="14">
        <v>4</v>
      </c>
      <c r="H1" s="14">
        <v>5</v>
      </c>
      <c r="I1" s="14">
        <v>6</v>
      </c>
      <c r="J1" s="14">
        <v>7</v>
      </c>
      <c r="K1" s="14">
        <v>8</v>
      </c>
      <c r="L1" s="14">
        <v>9</v>
      </c>
      <c r="M1" s="14">
        <v>10</v>
      </c>
      <c r="N1" s="14">
        <v>11</v>
      </c>
      <c r="O1" s="14">
        <v>12</v>
      </c>
      <c r="P1" s="14">
        <v>13</v>
      </c>
      <c r="Q1" s="14">
        <v>14</v>
      </c>
      <c r="R1" s="14">
        <v>15</v>
      </c>
      <c r="S1" s="14">
        <v>16</v>
      </c>
      <c r="T1" s="14">
        <v>17</v>
      </c>
      <c r="U1" s="14">
        <v>18</v>
      </c>
      <c r="V1" s="14">
        <v>19</v>
      </c>
      <c r="W1" s="14">
        <v>20</v>
      </c>
      <c r="X1" s="14">
        <v>21</v>
      </c>
      <c r="Y1" s="14">
        <v>22</v>
      </c>
      <c r="Z1" s="14">
        <v>23</v>
      </c>
      <c r="AA1" s="14">
        <v>24</v>
      </c>
      <c r="AB1" s="14">
        <v>25</v>
      </c>
      <c r="AC1" s="14">
        <v>26</v>
      </c>
      <c r="AD1" s="14">
        <v>27</v>
      </c>
      <c r="AE1" s="14">
        <v>28</v>
      </c>
      <c r="AF1" s="14">
        <v>29</v>
      </c>
      <c r="AG1" s="14">
        <v>30</v>
      </c>
      <c r="AH1" s="14">
        <v>31</v>
      </c>
      <c r="AI1" s="14">
        <v>32</v>
      </c>
      <c r="AJ1" s="14">
        <v>33</v>
      </c>
      <c r="AK1" s="14">
        <v>34</v>
      </c>
      <c r="AL1" s="14">
        <v>35</v>
      </c>
      <c r="AM1" s="14">
        <v>36</v>
      </c>
    </row>
    <row r="2" spans="1:39" ht="13" x14ac:dyDescent="0.15">
      <c r="A2" s="101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3"/>
    </row>
    <row r="3" spans="1:39" ht="13" x14ac:dyDescent="0.15">
      <c r="A3" s="1" t="s">
        <v>46</v>
      </c>
      <c r="B3" s="15" t="s">
        <v>47</v>
      </c>
      <c r="C3" s="101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3"/>
    </row>
    <row r="4" spans="1:39" ht="13" x14ac:dyDescent="0.15">
      <c r="A4" s="16" t="s">
        <v>9</v>
      </c>
      <c r="B4" s="17" t="s">
        <v>48</v>
      </c>
      <c r="C4" s="16" t="s">
        <v>49</v>
      </c>
      <c r="D4" s="18">
        <v>45056</v>
      </c>
      <c r="E4" s="18">
        <v>45087</v>
      </c>
      <c r="F4" s="18">
        <v>45114</v>
      </c>
      <c r="G4" s="18">
        <v>45154</v>
      </c>
      <c r="H4" s="18">
        <v>45176</v>
      </c>
      <c r="I4" s="18">
        <v>45205</v>
      </c>
      <c r="J4" s="18">
        <v>45240</v>
      </c>
      <c r="K4" s="18">
        <v>45272</v>
      </c>
      <c r="L4" s="18">
        <v>45300</v>
      </c>
      <c r="M4" s="18">
        <v>45328</v>
      </c>
      <c r="N4" s="18">
        <v>45358</v>
      </c>
      <c r="O4" s="18">
        <v>45391</v>
      </c>
      <c r="P4" s="18">
        <v>45422</v>
      </c>
      <c r="Q4" s="18">
        <v>45449</v>
      </c>
      <c r="R4" s="18">
        <v>45481</v>
      </c>
      <c r="S4" s="19">
        <v>45506</v>
      </c>
      <c r="T4" s="18">
        <v>45544</v>
      </c>
      <c r="U4" s="18">
        <v>45579</v>
      </c>
      <c r="V4" s="18">
        <v>45604</v>
      </c>
      <c r="W4" s="2"/>
      <c r="X4" s="2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 spans="1:39" ht="13" x14ac:dyDescent="0.15">
      <c r="A5" s="16" t="s">
        <v>32</v>
      </c>
      <c r="B5" s="20" t="s">
        <v>48</v>
      </c>
      <c r="C5" s="21" t="s">
        <v>49</v>
      </c>
      <c r="D5" s="22">
        <v>45118</v>
      </c>
      <c r="E5" s="22">
        <v>45147</v>
      </c>
      <c r="F5" s="22">
        <v>45177</v>
      </c>
      <c r="G5" s="22">
        <v>45205</v>
      </c>
      <c r="H5" s="22">
        <v>45240</v>
      </c>
      <c r="I5" s="22">
        <v>45268</v>
      </c>
      <c r="J5" s="22">
        <v>45300</v>
      </c>
      <c r="K5" s="22">
        <v>45327</v>
      </c>
      <c r="L5" s="22">
        <v>45358</v>
      </c>
      <c r="M5" s="22">
        <v>45392</v>
      </c>
      <c r="N5" s="22">
        <v>45421</v>
      </c>
      <c r="O5" s="22">
        <v>45449</v>
      </c>
      <c r="P5" s="22">
        <v>45484</v>
      </c>
      <c r="Q5" s="22">
        <v>45512</v>
      </c>
      <c r="R5" s="22">
        <v>45545</v>
      </c>
      <c r="S5" s="22">
        <v>45579</v>
      </c>
      <c r="T5" s="22">
        <v>45604</v>
      </c>
      <c r="U5" s="23"/>
      <c r="V5" s="23"/>
      <c r="W5" s="2"/>
      <c r="X5" s="2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ht="13" x14ac:dyDescent="0.15">
      <c r="A6" s="96" t="s">
        <v>15</v>
      </c>
      <c r="B6" s="98">
        <v>53900</v>
      </c>
      <c r="C6" s="24" t="s">
        <v>49</v>
      </c>
      <c r="D6" s="25">
        <v>45056</v>
      </c>
      <c r="E6" s="26">
        <v>45087</v>
      </c>
      <c r="F6" s="26">
        <v>45117</v>
      </c>
      <c r="G6" s="26">
        <v>45147</v>
      </c>
      <c r="H6" s="26">
        <v>45177</v>
      </c>
      <c r="I6" s="26">
        <v>45205</v>
      </c>
      <c r="J6" s="26">
        <v>45243</v>
      </c>
      <c r="K6" s="26">
        <v>45267</v>
      </c>
      <c r="L6" s="26">
        <v>44935</v>
      </c>
      <c r="M6" s="26">
        <v>45327</v>
      </c>
      <c r="N6" s="26">
        <v>45363</v>
      </c>
      <c r="O6" s="26">
        <v>45391</v>
      </c>
      <c r="P6" s="26">
        <v>45421</v>
      </c>
      <c r="Q6" s="26">
        <v>45449</v>
      </c>
      <c r="R6" s="26">
        <v>45481</v>
      </c>
      <c r="S6" s="26">
        <v>45512</v>
      </c>
      <c r="T6" s="26">
        <v>45544</v>
      </c>
      <c r="U6" s="26">
        <v>45573</v>
      </c>
      <c r="V6" s="26">
        <v>45603</v>
      </c>
      <c r="W6" s="26">
        <v>45644</v>
      </c>
      <c r="X6" s="27">
        <v>45671</v>
      </c>
      <c r="Y6" s="26">
        <v>45695</v>
      </c>
      <c r="Z6" s="26">
        <v>45726</v>
      </c>
      <c r="AA6" s="26">
        <v>45756</v>
      </c>
      <c r="AB6" s="26">
        <v>45789</v>
      </c>
      <c r="AC6" s="26">
        <v>45818</v>
      </c>
      <c r="AD6" s="26">
        <v>45848</v>
      </c>
      <c r="AE6" s="26">
        <v>45877</v>
      </c>
      <c r="AF6" s="26">
        <v>45912</v>
      </c>
      <c r="AG6" s="25">
        <v>45946</v>
      </c>
      <c r="AH6" s="26">
        <v>45968</v>
      </c>
      <c r="AI6" s="26">
        <v>45996</v>
      </c>
      <c r="AJ6" s="26"/>
      <c r="AK6" s="28"/>
      <c r="AL6" s="28"/>
      <c r="AM6" s="28"/>
    </row>
    <row r="7" spans="1:39" ht="13" x14ac:dyDescent="0.15">
      <c r="A7" s="97"/>
      <c r="B7" s="99"/>
      <c r="C7" s="29" t="s">
        <v>50</v>
      </c>
      <c r="D7" s="29">
        <v>1000</v>
      </c>
      <c r="E7" s="30">
        <v>1000</v>
      </c>
      <c r="F7" s="30">
        <v>1000</v>
      </c>
      <c r="G7" s="30">
        <v>1000</v>
      </c>
      <c r="H7" s="30">
        <v>1000</v>
      </c>
      <c r="I7" s="30">
        <v>1000</v>
      </c>
      <c r="J7" s="30">
        <v>1000</v>
      </c>
      <c r="K7" s="30">
        <v>1000</v>
      </c>
      <c r="L7" s="30">
        <v>1000</v>
      </c>
      <c r="M7" s="30">
        <v>1000</v>
      </c>
      <c r="N7" s="30">
        <v>1000</v>
      </c>
      <c r="O7" s="30">
        <v>1000</v>
      </c>
      <c r="P7" s="30">
        <v>1000</v>
      </c>
      <c r="Q7" s="30">
        <v>1000</v>
      </c>
      <c r="R7" s="30">
        <v>1000</v>
      </c>
      <c r="S7" s="30">
        <v>1000</v>
      </c>
      <c r="T7" s="30">
        <v>1000</v>
      </c>
      <c r="U7" s="30">
        <v>1000</v>
      </c>
      <c r="V7" s="30">
        <v>1000</v>
      </c>
      <c r="W7" s="30">
        <v>1000</v>
      </c>
      <c r="X7" s="31">
        <v>1500</v>
      </c>
      <c r="Y7" s="30">
        <v>1500</v>
      </c>
      <c r="Z7" s="30">
        <v>1500</v>
      </c>
      <c r="AA7" s="30">
        <v>1500</v>
      </c>
      <c r="AB7" s="30">
        <v>2000</v>
      </c>
      <c r="AC7" s="30">
        <v>2000</v>
      </c>
      <c r="AD7" s="30">
        <v>2000</v>
      </c>
      <c r="AE7" s="30">
        <v>2000</v>
      </c>
      <c r="AF7" s="30">
        <v>2000</v>
      </c>
      <c r="AG7" s="30">
        <v>2000</v>
      </c>
      <c r="AH7" s="30">
        <v>2000</v>
      </c>
      <c r="AI7" s="30">
        <v>2000</v>
      </c>
      <c r="AJ7" s="30">
        <v>1120</v>
      </c>
      <c r="AK7" s="32"/>
      <c r="AL7" s="32"/>
      <c r="AM7" s="32"/>
    </row>
    <row r="8" spans="1:39" ht="13" x14ac:dyDescent="0.15">
      <c r="A8" s="96" t="s">
        <v>1</v>
      </c>
      <c r="B8" s="98"/>
      <c r="C8" s="24" t="s">
        <v>49</v>
      </c>
      <c r="D8" s="25">
        <v>45056</v>
      </c>
      <c r="E8" s="25">
        <v>45087</v>
      </c>
      <c r="F8" s="25">
        <v>45114</v>
      </c>
      <c r="G8" s="26">
        <v>45148</v>
      </c>
      <c r="H8" s="26">
        <v>45176</v>
      </c>
      <c r="I8" s="26">
        <v>45205</v>
      </c>
      <c r="J8" s="26">
        <v>45240</v>
      </c>
      <c r="K8" s="26">
        <v>45267</v>
      </c>
      <c r="L8" s="26">
        <v>44935</v>
      </c>
      <c r="M8" s="26">
        <v>45328</v>
      </c>
      <c r="N8" s="26">
        <v>45359</v>
      </c>
      <c r="O8" s="26">
        <v>45392</v>
      </c>
      <c r="P8" s="26">
        <v>45421</v>
      </c>
      <c r="Q8" s="26">
        <v>45450</v>
      </c>
      <c r="R8" s="26">
        <v>45485</v>
      </c>
      <c r="S8" s="26">
        <v>45512</v>
      </c>
      <c r="T8" s="26">
        <v>45545</v>
      </c>
      <c r="U8" s="26">
        <v>45576</v>
      </c>
      <c r="V8" s="26">
        <v>45603</v>
      </c>
      <c r="W8" s="26">
        <v>45636</v>
      </c>
      <c r="X8" s="27">
        <v>45674</v>
      </c>
      <c r="Y8" s="25">
        <v>45709</v>
      </c>
      <c r="Z8" s="25">
        <v>45726</v>
      </c>
      <c r="AA8" s="26">
        <v>45756</v>
      </c>
      <c r="AB8" s="26">
        <v>45793</v>
      </c>
      <c r="AC8" s="26">
        <v>45818</v>
      </c>
      <c r="AD8" s="26">
        <v>45848</v>
      </c>
      <c r="AE8" s="26">
        <v>45901</v>
      </c>
      <c r="AF8" s="26">
        <v>45912</v>
      </c>
      <c r="AG8" s="26">
        <v>45939</v>
      </c>
      <c r="AH8" s="25">
        <v>45968</v>
      </c>
      <c r="AI8" s="25">
        <v>45996</v>
      </c>
      <c r="AJ8" s="24"/>
      <c r="AK8" s="24"/>
      <c r="AL8" s="24"/>
      <c r="AM8" s="24"/>
    </row>
    <row r="9" spans="1:39" ht="13" x14ac:dyDescent="0.15">
      <c r="A9" s="97"/>
      <c r="B9" s="99"/>
      <c r="C9" s="29" t="s">
        <v>50</v>
      </c>
      <c r="D9" s="29">
        <v>1000</v>
      </c>
      <c r="E9" s="29">
        <v>1000</v>
      </c>
      <c r="F9" s="29">
        <v>1000</v>
      </c>
      <c r="G9" s="30">
        <v>1000</v>
      </c>
      <c r="H9" s="30">
        <v>1000</v>
      </c>
      <c r="I9" s="30">
        <v>1000</v>
      </c>
      <c r="J9" s="30">
        <v>1000</v>
      </c>
      <c r="K9" s="30">
        <v>1000</v>
      </c>
      <c r="L9" s="30">
        <v>1000</v>
      </c>
      <c r="M9" s="30">
        <v>1000</v>
      </c>
      <c r="N9" s="30">
        <v>1000</v>
      </c>
      <c r="O9" s="30">
        <v>1000</v>
      </c>
      <c r="P9" s="30">
        <v>1000</v>
      </c>
      <c r="Q9" s="30">
        <v>1000</v>
      </c>
      <c r="R9" s="30">
        <v>1000</v>
      </c>
      <c r="S9" s="30">
        <v>1000</v>
      </c>
      <c r="T9" s="30">
        <v>1000</v>
      </c>
      <c r="U9" s="30">
        <v>1000</v>
      </c>
      <c r="V9" s="30">
        <v>1000</v>
      </c>
      <c r="W9" s="30">
        <v>1000</v>
      </c>
      <c r="X9" s="31">
        <v>1000</v>
      </c>
      <c r="Y9" s="29">
        <v>1000</v>
      </c>
      <c r="Z9" s="29">
        <v>1000</v>
      </c>
      <c r="AA9" s="29">
        <v>1000</v>
      </c>
      <c r="AB9" s="29">
        <v>1000</v>
      </c>
      <c r="AC9" s="29">
        <v>1000</v>
      </c>
      <c r="AD9" s="29">
        <v>1000</v>
      </c>
      <c r="AE9" s="29">
        <v>1000</v>
      </c>
      <c r="AF9" s="29">
        <v>1000</v>
      </c>
      <c r="AG9" s="29">
        <v>1000</v>
      </c>
      <c r="AH9" s="29">
        <v>1000</v>
      </c>
      <c r="AI9" s="29">
        <v>1000</v>
      </c>
      <c r="AJ9" s="29"/>
      <c r="AK9" s="29"/>
      <c r="AL9" s="29"/>
      <c r="AM9" s="29"/>
    </row>
    <row r="10" spans="1:39" ht="13" x14ac:dyDescent="0.15">
      <c r="A10" s="96" t="s">
        <v>51</v>
      </c>
      <c r="B10" s="98">
        <v>85900</v>
      </c>
      <c r="C10" s="24" t="s">
        <v>49</v>
      </c>
      <c r="D10" s="25">
        <v>45267</v>
      </c>
      <c r="E10" s="26">
        <v>45300</v>
      </c>
      <c r="F10" s="26">
        <v>45327</v>
      </c>
      <c r="G10" s="26">
        <v>45358</v>
      </c>
      <c r="H10" s="26">
        <v>45391</v>
      </c>
      <c r="I10" s="26">
        <v>45420</v>
      </c>
      <c r="J10" s="26">
        <v>45446</v>
      </c>
      <c r="K10" s="26">
        <v>45477</v>
      </c>
      <c r="L10" s="26">
        <v>45510</v>
      </c>
      <c r="M10" s="26">
        <v>45544</v>
      </c>
      <c r="N10" s="26">
        <v>45573</v>
      </c>
      <c r="O10" s="26">
        <v>45602</v>
      </c>
      <c r="P10" s="26">
        <v>45635</v>
      </c>
      <c r="Q10" s="26">
        <v>45667</v>
      </c>
      <c r="R10" s="26">
        <v>45694</v>
      </c>
      <c r="S10" s="26">
        <v>45723</v>
      </c>
      <c r="T10" s="26">
        <v>45756</v>
      </c>
      <c r="U10" s="26">
        <v>45785</v>
      </c>
      <c r="V10" s="26">
        <v>45818</v>
      </c>
      <c r="W10" s="26">
        <v>45846</v>
      </c>
      <c r="X10" s="26">
        <v>45877</v>
      </c>
      <c r="Y10" s="26">
        <v>45908</v>
      </c>
      <c r="Z10" s="26">
        <v>45939</v>
      </c>
      <c r="AA10" s="26">
        <v>45968</v>
      </c>
      <c r="AB10" s="26">
        <v>45994</v>
      </c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</row>
    <row r="11" spans="1:39" ht="13" x14ac:dyDescent="0.15">
      <c r="A11" s="97"/>
      <c r="B11" s="99"/>
      <c r="C11" s="29" t="s">
        <v>50</v>
      </c>
      <c r="D11" s="29">
        <v>1000</v>
      </c>
      <c r="E11" s="30">
        <v>1000</v>
      </c>
      <c r="F11" s="30">
        <v>1000</v>
      </c>
      <c r="G11" s="30">
        <v>1000</v>
      </c>
      <c r="H11" s="30">
        <v>1000</v>
      </c>
      <c r="I11" s="30">
        <v>1000</v>
      </c>
      <c r="J11" s="30">
        <v>1000</v>
      </c>
      <c r="K11" s="30">
        <v>1000</v>
      </c>
      <c r="L11" s="30">
        <v>1000</v>
      </c>
      <c r="M11" s="30">
        <v>1000</v>
      </c>
      <c r="N11" s="30">
        <v>1000</v>
      </c>
      <c r="O11" s="30">
        <v>1000</v>
      </c>
      <c r="P11" s="30">
        <v>1000</v>
      </c>
      <c r="Q11" s="30">
        <v>1500</v>
      </c>
      <c r="R11" s="30">
        <v>1500</v>
      </c>
      <c r="S11" s="30">
        <v>1500</v>
      </c>
      <c r="T11" s="30">
        <v>1500</v>
      </c>
      <c r="U11" s="30">
        <v>1500</v>
      </c>
      <c r="V11" s="30">
        <v>1500</v>
      </c>
      <c r="W11" s="30">
        <v>1500</v>
      </c>
      <c r="X11" s="30">
        <v>1500</v>
      </c>
      <c r="Y11" s="30">
        <v>1500</v>
      </c>
      <c r="Z11" s="30">
        <v>1500</v>
      </c>
      <c r="AA11" s="30">
        <v>1500</v>
      </c>
      <c r="AB11" s="30">
        <v>2000</v>
      </c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</row>
    <row r="12" spans="1:39" ht="13" x14ac:dyDescent="0.15">
      <c r="A12" s="96" t="s">
        <v>10</v>
      </c>
      <c r="B12" s="98">
        <v>75500</v>
      </c>
      <c r="C12" s="24" t="s">
        <v>49</v>
      </c>
      <c r="D12" s="25">
        <v>45267</v>
      </c>
      <c r="E12" s="26">
        <v>45300</v>
      </c>
      <c r="F12" s="26">
        <v>45327</v>
      </c>
      <c r="G12" s="26">
        <v>45359</v>
      </c>
      <c r="H12" s="26">
        <v>45391</v>
      </c>
      <c r="I12" s="26">
        <v>45422</v>
      </c>
      <c r="J12" s="26">
        <v>45447</v>
      </c>
      <c r="K12" s="26">
        <v>45488</v>
      </c>
      <c r="L12" s="26">
        <v>45510</v>
      </c>
      <c r="M12" s="26">
        <v>45545</v>
      </c>
      <c r="N12" s="26">
        <v>45581</v>
      </c>
      <c r="O12" s="26">
        <v>45603</v>
      </c>
      <c r="P12" s="26">
        <v>45635</v>
      </c>
      <c r="Q12" s="27">
        <v>45673</v>
      </c>
      <c r="R12" s="26">
        <v>45700</v>
      </c>
      <c r="S12" s="34">
        <v>45730</v>
      </c>
      <c r="T12" s="26">
        <v>45756</v>
      </c>
      <c r="U12" s="26">
        <v>45785</v>
      </c>
      <c r="V12" s="26">
        <v>45824</v>
      </c>
      <c r="W12" s="26">
        <v>45847</v>
      </c>
      <c r="X12" s="26">
        <v>45883</v>
      </c>
      <c r="Y12" s="26">
        <v>45912</v>
      </c>
      <c r="Z12" s="26">
        <v>45945</v>
      </c>
      <c r="AA12" s="25">
        <v>45971</v>
      </c>
      <c r="AB12" s="25">
        <v>45996</v>
      </c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</row>
    <row r="13" spans="1:39" ht="18" customHeight="1" x14ac:dyDescent="0.15">
      <c r="A13" s="97"/>
      <c r="B13" s="99"/>
      <c r="C13" s="29" t="s">
        <v>50</v>
      </c>
      <c r="D13" s="29">
        <v>1000</v>
      </c>
      <c r="E13" s="30">
        <v>1000</v>
      </c>
      <c r="F13" s="30">
        <v>1000</v>
      </c>
      <c r="G13" s="30">
        <v>1000</v>
      </c>
      <c r="H13" s="30">
        <v>1000</v>
      </c>
      <c r="I13" s="30">
        <v>1000</v>
      </c>
      <c r="J13" s="30">
        <v>1000</v>
      </c>
      <c r="K13" s="30">
        <v>1000</v>
      </c>
      <c r="L13" s="30">
        <v>1000</v>
      </c>
      <c r="M13" s="30">
        <v>1000</v>
      </c>
      <c r="N13" s="30">
        <v>1000</v>
      </c>
      <c r="O13" s="30">
        <v>1000</v>
      </c>
      <c r="P13" s="30">
        <v>1000</v>
      </c>
      <c r="Q13" s="31">
        <v>1500</v>
      </c>
      <c r="R13" s="30">
        <v>1500</v>
      </c>
      <c r="S13" s="30">
        <v>1500</v>
      </c>
      <c r="T13" s="30">
        <v>1500</v>
      </c>
      <c r="U13" s="30">
        <v>1500</v>
      </c>
      <c r="V13" s="30">
        <v>1500</v>
      </c>
      <c r="W13" s="30">
        <v>1500</v>
      </c>
      <c r="X13" s="30">
        <v>1500</v>
      </c>
      <c r="Y13" s="30">
        <v>1500</v>
      </c>
      <c r="Z13" s="30">
        <v>1500</v>
      </c>
      <c r="AA13" s="30">
        <v>1500</v>
      </c>
      <c r="AB13" s="30">
        <v>2000</v>
      </c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</row>
    <row r="14" spans="1:39" ht="13" x14ac:dyDescent="0.15">
      <c r="A14" s="96" t="s">
        <v>36</v>
      </c>
      <c r="B14" s="98">
        <v>52700</v>
      </c>
      <c r="C14" s="24" t="s">
        <v>49</v>
      </c>
      <c r="D14" s="25">
        <v>45698</v>
      </c>
      <c r="E14" s="26">
        <v>45726</v>
      </c>
      <c r="F14" s="26">
        <v>45756</v>
      </c>
      <c r="G14" s="26">
        <v>45789</v>
      </c>
      <c r="H14" s="26">
        <v>45818</v>
      </c>
      <c r="I14" s="26">
        <v>45847</v>
      </c>
      <c r="J14" s="26">
        <v>45880</v>
      </c>
      <c r="K14" s="26">
        <v>45908</v>
      </c>
      <c r="L14" s="26">
        <v>45939</v>
      </c>
      <c r="M14" s="25">
        <v>45971</v>
      </c>
      <c r="N14" s="26">
        <v>45994</v>
      </c>
      <c r="O14" s="26"/>
      <c r="P14" s="26"/>
      <c r="Q14" s="27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</row>
    <row r="15" spans="1:39" ht="13" x14ac:dyDescent="0.15">
      <c r="A15" s="97"/>
      <c r="B15" s="99"/>
      <c r="C15" s="29" t="s">
        <v>50</v>
      </c>
      <c r="D15" s="29">
        <v>1000</v>
      </c>
      <c r="E15" s="30">
        <v>1000</v>
      </c>
      <c r="F15" s="30">
        <v>1000</v>
      </c>
      <c r="G15" s="30">
        <v>1000</v>
      </c>
      <c r="H15" s="30">
        <v>1000</v>
      </c>
      <c r="I15" s="30">
        <v>1000</v>
      </c>
      <c r="J15" s="30">
        <v>1000</v>
      </c>
      <c r="K15" s="30">
        <v>1000</v>
      </c>
      <c r="L15" s="30">
        <v>1000</v>
      </c>
      <c r="M15" s="30">
        <v>1000</v>
      </c>
      <c r="N15" s="30">
        <v>1000</v>
      </c>
      <c r="O15" s="30"/>
      <c r="P15" s="30"/>
      <c r="Q15" s="31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</row>
    <row r="16" spans="1:39" ht="13" x14ac:dyDescent="0.15">
      <c r="A16" s="96" t="s">
        <v>17</v>
      </c>
      <c r="B16" s="98">
        <v>62143</v>
      </c>
      <c r="C16" s="24" t="s">
        <v>49</v>
      </c>
      <c r="D16" s="25">
        <v>45723</v>
      </c>
      <c r="E16" s="26">
        <v>45758</v>
      </c>
      <c r="F16" s="26">
        <v>45785</v>
      </c>
      <c r="G16" s="26">
        <v>45824</v>
      </c>
      <c r="H16" s="26">
        <v>45846</v>
      </c>
      <c r="I16" s="26">
        <v>45877</v>
      </c>
      <c r="J16" s="26">
        <v>45909</v>
      </c>
      <c r="K16" s="26">
        <v>45939</v>
      </c>
      <c r="L16" s="26">
        <v>45968</v>
      </c>
      <c r="M16" s="26">
        <v>45994</v>
      </c>
      <c r="N16" s="26"/>
      <c r="O16" s="26"/>
      <c r="P16" s="26"/>
      <c r="Q16" s="27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</row>
    <row r="17" spans="1:39" ht="13" x14ac:dyDescent="0.15">
      <c r="A17" s="97"/>
      <c r="B17" s="99"/>
      <c r="C17" s="29" t="s">
        <v>50</v>
      </c>
      <c r="D17" s="29">
        <v>1000</v>
      </c>
      <c r="E17" s="30">
        <v>1000</v>
      </c>
      <c r="F17" s="30">
        <v>1000</v>
      </c>
      <c r="G17" s="30">
        <v>1000</v>
      </c>
      <c r="H17" s="30">
        <v>1000</v>
      </c>
      <c r="I17" s="30">
        <v>1000</v>
      </c>
      <c r="J17" s="30">
        <v>1000</v>
      </c>
      <c r="K17" s="30">
        <v>1000</v>
      </c>
      <c r="L17" s="30">
        <v>1000</v>
      </c>
      <c r="M17" s="30">
        <v>1000</v>
      </c>
      <c r="N17" s="30"/>
      <c r="O17" s="30"/>
      <c r="P17" s="30"/>
      <c r="Q17" s="31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</row>
    <row r="18" spans="1:39" ht="13" x14ac:dyDescent="0.15">
      <c r="A18" s="96" t="s">
        <v>12</v>
      </c>
      <c r="B18" s="100">
        <v>45956</v>
      </c>
      <c r="C18" s="1" t="s">
        <v>49</v>
      </c>
      <c r="D18" s="26">
        <v>45849</v>
      </c>
      <c r="E18" s="25">
        <v>45877</v>
      </c>
      <c r="F18" s="25">
        <v>45912</v>
      </c>
      <c r="G18" s="25">
        <v>45946</v>
      </c>
      <c r="H18" s="25">
        <v>45981</v>
      </c>
      <c r="I18" s="25">
        <v>46002</v>
      </c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11"/>
    </row>
    <row r="19" spans="1:39" ht="13" x14ac:dyDescent="0.15">
      <c r="A19" s="97"/>
      <c r="B19" s="97"/>
      <c r="C19" s="1" t="s">
        <v>50</v>
      </c>
      <c r="D19" s="30">
        <v>1000</v>
      </c>
      <c r="E19" s="30">
        <v>1000</v>
      </c>
      <c r="F19" s="29">
        <v>1000</v>
      </c>
      <c r="G19" s="29">
        <v>1000</v>
      </c>
      <c r="H19" s="29">
        <v>1000</v>
      </c>
      <c r="I19" s="30">
        <v>1000</v>
      </c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</row>
    <row r="20" spans="1:39" ht="13" x14ac:dyDescent="0.15">
      <c r="A20" s="96" t="s">
        <v>52</v>
      </c>
      <c r="B20" s="100">
        <v>84999</v>
      </c>
      <c r="C20" s="1" t="s">
        <v>49</v>
      </c>
      <c r="D20" s="26">
        <v>45964</v>
      </c>
      <c r="E20" s="25">
        <v>45971</v>
      </c>
      <c r="F20" s="25">
        <v>46000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11"/>
    </row>
    <row r="21" spans="1:39" ht="13" x14ac:dyDescent="0.15">
      <c r="A21" s="97"/>
      <c r="B21" s="97"/>
      <c r="C21" s="1" t="s">
        <v>50</v>
      </c>
      <c r="D21" s="29">
        <v>1000</v>
      </c>
      <c r="E21" s="30">
        <v>1000</v>
      </c>
      <c r="F21" s="30">
        <v>1000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</row>
  </sheetData>
  <mergeCells count="18">
    <mergeCell ref="A20:A21"/>
    <mergeCell ref="B20:B21"/>
    <mergeCell ref="A2:AM2"/>
    <mergeCell ref="C3:AM3"/>
    <mergeCell ref="A6:A7"/>
    <mergeCell ref="B6:B7"/>
    <mergeCell ref="A8:A9"/>
    <mergeCell ref="B8:B9"/>
    <mergeCell ref="A16:A17"/>
    <mergeCell ref="B16:B17"/>
    <mergeCell ref="B10:B11"/>
    <mergeCell ref="A18:A19"/>
    <mergeCell ref="B18:B19"/>
    <mergeCell ref="A10:A11"/>
    <mergeCell ref="A12:A13"/>
    <mergeCell ref="B12:B13"/>
    <mergeCell ref="A14:A15"/>
    <mergeCell ref="B14:B15"/>
  </mergeCells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992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12.6640625" defaultRowHeight="15.75" customHeight="1" x14ac:dyDescent="0.15"/>
  <sheetData>
    <row r="1" spans="1:6" ht="13" x14ac:dyDescent="0.15">
      <c r="A1" s="6" t="s">
        <v>46</v>
      </c>
      <c r="B1" s="2" t="s">
        <v>53</v>
      </c>
      <c r="C1" s="6">
        <v>2022</v>
      </c>
      <c r="D1" s="6">
        <v>2023</v>
      </c>
      <c r="E1" s="6">
        <v>2024</v>
      </c>
      <c r="F1" s="36">
        <v>2025</v>
      </c>
    </row>
    <row r="2" spans="1:6" ht="13" x14ac:dyDescent="0.15">
      <c r="A2" s="37" t="s">
        <v>51</v>
      </c>
      <c r="B2" s="38">
        <v>44075</v>
      </c>
      <c r="C2" s="6"/>
      <c r="D2" s="6"/>
      <c r="E2" s="6"/>
      <c r="F2" s="8"/>
    </row>
    <row r="3" spans="1:6" ht="13" x14ac:dyDescent="0.15">
      <c r="A3" s="37" t="s">
        <v>1</v>
      </c>
      <c r="B3" s="38">
        <v>44075</v>
      </c>
      <c r="C3" s="6"/>
      <c r="D3" s="6"/>
      <c r="E3" s="6"/>
      <c r="F3" s="8">
        <v>45902</v>
      </c>
    </row>
    <row r="4" spans="1:6" ht="13" x14ac:dyDescent="0.15">
      <c r="A4" s="37" t="s">
        <v>12</v>
      </c>
      <c r="B4" s="38">
        <v>44075</v>
      </c>
      <c r="C4" s="6"/>
      <c r="D4" s="6"/>
      <c r="E4" s="6"/>
      <c r="F4" s="8"/>
    </row>
    <row r="5" spans="1:6" ht="13" x14ac:dyDescent="0.15">
      <c r="A5" s="37" t="s">
        <v>9</v>
      </c>
      <c r="B5" s="2"/>
      <c r="C5" s="6"/>
      <c r="D5" s="8">
        <v>44986</v>
      </c>
      <c r="E5" s="6"/>
      <c r="F5" s="8"/>
    </row>
    <row r="6" spans="1:6" ht="13" x14ac:dyDescent="0.15">
      <c r="A6" s="37" t="s">
        <v>10</v>
      </c>
      <c r="B6" s="38">
        <v>44075</v>
      </c>
      <c r="C6" s="6"/>
      <c r="D6" s="8"/>
      <c r="E6" s="8">
        <v>45292</v>
      </c>
      <c r="F6" s="8"/>
    </row>
    <row r="7" spans="1:6" ht="13" x14ac:dyDescent="0.15">
      <c r="A7" s="37" t="s">
        <v>8</v>
      </c>
      <c r="B7" s="38">
        <v>44075</v>
      </c>
      <c r="C7" s="6"/>
      <c r="D7" s="6"/>
      <c r="E7" s="8">
        <v>45313</v>
      </c>
      <c r="F7" s="8"/>
    </row>
    <row r="8" spans="1:6" ht="13" x14ac:dyDescent="0.15">
      <c r="A8" s="37" t="s">
        <v>21</v>
      </c>
      <c r="B8" s="38">
        <v>44200</v>
      </c>
      <c r="C8" s="6"/>
      <c r="D8" s="6"/>
      <c r="E8" s="6"/>
      <c r="F8" s="8"/>
    </row>
    <row r="9" spans="1:6" ht="13" x14ac:dyDescent="0.15">
      <c r="A9" s="37" t="s">
        <v>23</v>
      </c>
      <c r="B9" s="38">
        <v>44228</v>
      </c>
      <c r="C9" s="6"/>
      <c r="D9" s="6"/>
      <c r="E9" s="6"/>
      <c r="F9" s="8"/>
    </row>
    <row r="10" spans="1:6" ht="13" x14ac:dyDescent="0.15">
      <c r="A10" s="37" t="s">
        <v>15</v>
      </c>
      <c r="B10" s="38">
        <v>44256</v>
      </c>
      <c r="C10" s="8">
        <v>44727</v>
      </c>
      <c r="D10" s="6"/>
      <c r="E10" s="8">
        <v>45352</v>
      </c>
      <c r="F10" s="8">
        <v>45971</v>
      </c>
    </row>
    <row r="11" spans="1:6" ht="13" x14ac:dyDescent="0.15">
      <c r="A11" s="37" t="s">
        <v>24</v>
      </c>
      <c r="B11" s="38">
        <v>44256</v>
      </c>
      <c r="C11" s="6"/>
      <c r="D11" s="6"/>
      <c r="E11" s="6"/>
      <c r="F11" s="8"/>
    </row>
    <row r="12" spans="1:6" ht="13" x14ac:dyDescent="0.15">
      <c r="A12" s="37" t="s">
        <v>28</v>
      </c>
      <c r="B12" s="38">
        <v>44305</v>
      </c>
      <c r="C12" s="6"/>
      <c r="D12" s="6"/>
      <c r="E12" s="8">
        <v>45306</v>
      </c>
      <c r="F12" s="8"/>
    </row>
    <row r="13" spans="1:6" ht="13" x14ac:dyDescent="0.15">
      <c r="A13" s="37" t="s">
        <v>32</v>
      </c>
      <c r="B13" s="2"/>
      <c r="C13" s="6"/>
      <c r="D13" s="6"/>
      <c r="E13" s="6"/>
      <c r="F13" s="8"/>
    </row>
    <row r="14" spans="1:6" ht="13" x14ac:dyDescent="0.15">
      <c r="A14" s="37" t="s">
        <v>25</v>
      </c>
      <c r="B14" s="38">
        <v>44529</v>
      </c>
      <c r="C14" s="6"/>
      <c r="D14" s="6"/>
      <c r="E14" s="8">
        <v>45306</v>
      </c>
      <c r="F14" s="8"/>
    </row>
    <row r="15" spans="1:6" ht="13" x14ac:dyDescent="0.15">
      <c r="A15" s="37" t="s">
        <v>2</v>
      </c>
      <c r="B15" s="38">
        <v>44531</v>
      </c>
      <c r="C15" s="8">
        <v>44920</v>
      </c>
      <c r="D15" s="6"/>
      <c r="E15" s="6"/>
      <c r="F15" s="8"/>
    </row>
    <row r="16" spans="1:6" ht="13" x14ac:dyDescent="0.15">
      <c r="A16" s="37" t="s">
        <v>13</v>
      </c>
      <c r="B16" s="38">
        <v>44602</v>
      </c>
      <c r="C16" s="6"/>
      <c r="D16" s="6"/>
      <c r="E16" s="6"/>
      <c r="F16" s="8"/>
    </row>
    <row r="17" spans="1:6" ht="13" x14ac:dyDescent="0.15">
      <c r="A17" s="37" t="s">
        <v>38</v>
      </c>
      <c r="B17" s="38">
        <v>44732</v>
      </c>
      <c r="C17" s="6"/>
      <c r="D17" s="6"/>
      <c r="E17" s="6"/>
      <c r="F17" s="8"/>
    </row>
    <row r="18" spans="1:6" ht="13" x14ac:dyDescent="0.15">
      <c r="A18" s="37" t="s">
        <v>0</v>
      </c>
      <c r="B18" s="38">
        <v>44774</v>
      </c>
      <c r="C18" s="6"/>
      <c r="D18" s="6"/>
      <c r="E18" s="6"/>
      <c r="F18" s="8"/>
    </row>
    <row r="19" spans="1:6" ht="13" x14ac:dyDescent="0.15">
      <c r="A19" s="37" t="s">
        <v>3</v>
      </c>
      <c r="B19" s="38">
        <v>45139</v>
      </c>
      <c r="C19" s="6"/>
      <c r="D19" s="6"/>
      <c r="E19" s="6"/>
      <c r="F19" s="8">
        <v>45985</v>
      </c>
    </row>
    <row r="20" spans="1:6" ht="13" x14ac:dyDescent="0.15">
      <c r="A20" s="37" t="s">
        <v>16</v>
      </c>
      <c r="B20" s="38">
        <v>44986</v>
      </c>
      <c r="C20" s="6"/>
      <c r="D20" s="6"/>
      <c r="E20" s="6"/>
      <c r="F20" s="8"/>
    </row>
    <row r="21" spans="1:6" ht="13" x14ac:dyDescent="0.15">
      <c r="A21" s="37" t="s">
        <v>17</v>
      </c>
      <c r="B21" s="38">
        <v>45022</v>
      </c>
      <c r="C21" s="6"/>
      <c r="D21" s="6"/>
      <c r="E21" s="6"/>
      <c r="F21" s="8"/>
    </row>
    <row r="22" spans="1:6" ht="13" x14ac:dyDescent="0.15">
      <c r="A22" s="37" t="s">
        <v>42</v>
      </c>
      <c r="B22" s="2"/>
      <c r="C22" s="6"/>
      <c r="D22" s="6"/>
      <c r="E22" s="6"/>
      <c r="F22" s="8"/>
    </row>
    <row r="23" spans="1:6" ht="13" x14ac:dyDescent="0.15">
      <c r="A23" s="37" t="s">
        <v>36</v>
      </c>
      <c r="B23" s="38">
        <v>45103</v>
      </c>
      <c r="C23" s="6"/>
      <c r="D23" s="6"/>
      <c r="E23" s="6"/>
      <c r="F23" s="8"/>
    </row>
    <row r="24" spans="1:6" ht="13" x14ac:dyDescent="0.15">
      <c r="A24" s="6" t="s">
        <v>6</v>
      </c>
      <c r="B24" s="38">
        <v>45117</v>
      </c>
      <c r="C24" s="6"/>
      <c r="D24" s="6"/>
      <c r="E24" s="6"/>
      <c r="F24" s="8"/>
    </row>
    <row r="25" spans="1:6" ht="13" x14ac:dyDescent="0.15">
      <c r="A25" s="6" t="s">
        <v>52</v>
      </c>
      <c r="B25" s="38">
        <v>45124</v>
      </c>
      <c r="C25" s="6"/>
      <c r="D25" s="6"/>
      <c r="E25" s="6"/>
      <c r="F25" s="8"/>
    </row>
    <row r="26" spans="1:6" ht="13" x14ac:dyDescent="0.15">
      <c r="A26" s="6" t="s">
        <v>4</v>
      </c>
      <c r="B26" s="38">
        <v>45166</v>
      </c>
      <c r="C26" s="6"/>
      <c r="D26" s="6"/>
      <c r="E26" s="6"/>
      <c r="F26" s="8"/>
    </row>
    <row r="27" spans="1:6" ht="13" x14ac:dyDescent="0.15">
      <c r="A27" s="6" t="s">
        <v>33</v>
      </c>
      <c r="B27" s="38">
        <v>45170</v>
      </c>
      <c r="C27" s="6"/>
      <c r="D27" s="6"/>
      <c r="E27" s="6"/>
      <c r="F27" s="8"/>
    </row>
    <row r="28" spans="1:6" ht="13" x14ac:dyDescent="0.15">
      <c r="A28" s="6" t="s">
        <v>22</v>
      </c>
      <c r="B28" s="2"/>
      <c r="C28" s="6"/>
      <c r="D28" s="6"/>
      <c r="E28" s="6"/>
      <c r="F28" s="8"/>
    </row>
    <row r="29" spans="1:6" ht="13" x14ac:dyDescent="0.15">
      <c r="A29" s="6" t="s">
        <v>29</v>
      </c>
      <c r="B29" s="38">
        <v>45200</v>
      </c>
      <c r="C29" s="6"/>
      <c r="D29" s="6"/>
      <c r="E29" s="6"/>
      <c r="F29" s="8"/>
    </row>
    <row r="30" spans="1:6" ht="13" x14ac:dyDescent="0.15">
      <c r="A30" s="6" t="s">
        <v>11</v>
      </c>
      <c r="B30" s="38">
        <v>45264</v>
      </c>
      <c r="C30" s="6"/>
      <c r="D30" s="6"/>
      <c r="E30" s="6"/>
      <c r="F30" s="8"/>
    </row>
    <row r="31" spans="1:6" ht="13" x14ac:dyDescent="0.15">
      <c r="A31" s="6" t="s">
        <v>14</v>
      </c>
      <c r="B31" s="38">
        <v>45383</v>
      </c>
      <c r="C31" s="6"/>
      <c r="D31" s="6"/>
      <c r="E31" s="6"/>
      <c r="F31" s="8"/>
    </row>
    <row r="32" spans="1:6" ht="13" x14ac:dyDescent="0.15">
      <c r="A32" s="6" t="s">
        <v>43</v>
      </c>
      <c r="B32" s="38">
        <v>45383</v>
      </c>
      <c r="C32" s="6"/>
      <c r="D32" s="6"/>
      <c r="E32" s="6"/>
      <c r="F32" s="8"/>
    </row>
    <row r="33" spans="1:6" ht="13" x14ac:dyDescent="0.15">
      <c r="A33" s="37" t="s">
        <v>18</v>
      </c>
      <c r="B33" s="39">
        <v>45505</v>
      </c>
      <c r="C33" s="6"/>
      <c r="D33" s="6"/>
      <c r="E33" s="6"/>
      <c r="F33" s="8"/>
    </row>
    <row r="34" spans="1:6" ht="13" x14ac:dyDescent="0.15">
      <c r="A34" s="40" t="s">
        <v>5</v>
      </c>
      <c r="B34" s="41">
        <v>45536</v>
      </c>
      <c r="C34" s="6"/>
      <c r="D34" s="6"/>
      <c r="E34" s="6"/>
      <c r="F34" s="8"/>
    </row>
    <row r="35" spans="1:6" ht="13" x14ac:dyDescent="0.15">
      <c r="A35" s="37" t="s">
        <v>26</v>
      </c>
      <c r="B35" s="39">
        <v>45627</v>
      </c>
      <c r="C35" s="6"/>
      <c r="D35" s="6"/>
      <c r="E35" s="6"/>
      <c r="F35" s="8"/>
    </row>
    <row r="36" spans="1:6" ht="13" x14ac:dyDescent="0.15">
      <c r="A36" s="37" t="s">
        <v>40</v>
      </c>
      <c r="B36" s="39">
        <v>45642</v>
      </c>
      <c r="C36" s="6"/>
      <c r="D36" s="6"/>
      <c r="E36" s="6"/>
      <c r="F36" s="8"/>
    </row>
    <row r="37" spans="1:6" ht="13" x14ac:dyDescent="0.15">
      <c r="A37" s="37" t="s">
        <v>30</v>
      </c>
      <c r="B37" s="39">
        <v>45665</v>
      </c>
      <c r="C37" s="6"/>
      <c r="D37" s="6"/>
      <c r="E37" s="6"/>
      <c r="F37" s="8"/>
    </row>
    <row r="38" spans="1:6" ht="13" x14ac:dyDescent="0.15">
      <c r="A38" s="42" t="s">
        <v>37</v>
      </c>
      <c r="B38" s="38">
        <v>45691</v>
      </c>
      <c r="C38" s="6"/>
      <c r="D38" s="6"/>
      <c r="E38" s="6"/>
      <c r="F38" s="8"/>
    </row>
    <row r="39" spans="1:6" ht="13" x14ac:dyDescent="0.15">
      <c r="A39" s="37" t="s">
        <v>34</v>
      </c>
      <c r="B39" s="38">
        <v>45733</v>
      </c>
      <c r="C39" s="6"/>
      <c r="D39" s="6"/>
      <c r="E39" s="6"/>
      <c r="F39" s="8"/>
    </row>
    <row r="40" spans="1:6" ht="13" x14ac:dyDescent="0.15">
      <c r="A40" s="42" t="s">
        <v>39</v>
      </c>
      <c r="B40" s="38">
        <v>45733</v>
      </c>
      <c r="C40" s="6"/>
      <c r="D40" s="6"/>
      <c r="E40" s="6"/>
      <c r="F40" s="8"/>
    </row>
    <row r="41" spans="1:6" ht="13" x14ac:dyDescent="0.15">
      <c r="A41" s="42" t="s">
        <v>44</v>
      </c>
      <c r="B41" s="38">
        <v>45810</v>
      </c>
      <c r="C41" s="6"/>
      <c r="D41" s="6"/>
      <c r="E41" s="6"/>
      <c r="F41" s="8"/>
    </row>
    <row r="42" spans="1:6" ht="13" x14ac:dyDescent="0.15">
      <c r="A42" s="42" t="s">
        <v>41</v>
      </c>
      <c r="B42" s="38">
        <v>45810</v>
      </c>
      <c r="C42" s="6"/>
      <c r="D42" s="6"/>
      <c r="E42" s="6"/>
      <c r="F42" s="8"/>
    </row>
    <row r="43" spans="1:6" ht="13" x14ac:dyDescent="0.15">
      <c r="A43" s="42" t="s">
        <v>19</v>
      </c>
      <c r="B43" s="38">
        <v>45839</v>
      </c>
      <c r="C43" s="6"/>
      <c r="D43" s="6"/>
      <c r="E43" s="6"/>
      <c r="F43" s="8"/>
    </row>
    <row r="44" spans="1:6" ht="13" x14ac:dyDescent="0.15">
      <c r="A44" s="42" t="s">
        <v>31</v>
      </c>
      <c r="B44" s="38">
        <v>45839</v>
      </c>
      <c r="C44" s="6"/>
      <c r="D44" s="6"/>
      <c r="E44" s="6"/>
      <c r="F44" s="8"/>
    </row>
    <row r="45" spans="1:6" ht="13" x14ac:dyDescent="0.15">
      <c r="A45" s="42" t="s">
        <v>7</v>
      </c>
      <c r="B45" s="38">
        <v>45870</v>
      </c>
      <c r="C45" s="6"/>
      <c r="D45" s="6"/>
      <c r="E45" s="6"/>
      <c r="F45" s="8"/>
    </row>
    <row r="46" spans="1:6" ht="13" x14ac:dyDescent="0.15">
      <c r="A46" s="42" t="s">
        <v>20</v>
      </c>
      <c r="B46" s="38">
        <v>45875</v>
      </c>
      <c r="C46" s="6"/>
      <c r="D46" s="6"/>
      <c r="E46" s="6"/>
      <c r="F46" s="8"/>
    </row>
    <row r="47" spans="1:6" ht="13" x14ac:dyDescent="0.15">
      <c r="A47" s="6" t="s">
        <v>27</v>
      </c>
      <c r="B47" s="38">
        <v>45981</v>
      </c>
      <c r="C47" s="6"/>
      <c r="D47" s="6"/>
      <c r="E47" s="6"/>
      <c r="F47" s="6"/>
    </row>
    <row r="48" spans="1:6" ht="13" x14ac:dyDescent="0.15">
      <c r="B48" s="43"/>
    </row>
    <row r="49" spans="2:2" ht="13" x14ac:dyDescent="0.15">
      <c r="B49" s="43"/>
    </row>
    <row r="50" spans="2:2" ht="13" x14ac:dyDescent="0.15">
      <c r="B50" s="43"/>
    </row>
    <row r="51" spans="2:2" ht="13" x14ac:dyDescent="0.15">
      <c r="B51" s="43"/>
    </row>
    <row r="52" spans="2:2" ht="13" x14ac:dyDescent="0.15">
      <c r="B52" s="43"/>
    </row>
    <row r="53" spans="2:2" ht="13" x14ac:dyDescent="0.15">
      <c r="B53" s="43"/>
    </row>
    <row r="54" spans="2:2" ht="13" x14ac:dyDescent="0.15">
      <c r="B54" s="43"/>
    </row>
    <row r="55" spans="2:2" ht="13" x14ac:dyDescent="0.15">
      <c r="B55" s="43"/>
    </row>
    <row r="56" spans="2:2" ht="13" x14ac:dyDescent="0.15">
      <c r="B56" s="43"/>
    </row>
    <row r="57" spans="2:2" ht="13" x14ac:dyDescent="0.15">
      <c r="B57" s="43"/>
    </row>
    <row r="58" spans="2:2" ht="13" x14ac:dyDescent="0.15">
      <c r="B58" s="43"/>
    </row>
    <row r="59" spans="2:2" ht="13" x14ac:dyDescent="0.15">
      <c r="B59" s="43"/>
    </row>
    <row r="60" spans="2:2" ht="13" x14ac:dyDescent="0.15">
      <c r="B60" s="43"/>
    </row>
    <row r="61" spans="2:2" ht="13" x14ac:dyDescent="0.15">
      <c r="B61" s="43"/>
    </row>
    <row r="62" spans="2:2" ht="13" x14ac:dyDescent="0.15">
      <c r="B62" s="43"/>
    </row>
    <row r="63" spans="2:2" ht="13" x14ac:dyDescent="0.15">
      <c r="B63" s="43"/>
    </row>
    <row r="64" spans="2:2" ht="13" x14ac:dyDescent="0.15">
      <c r="B64" s="43"/>
    </row>
    <row r="65" spans="2:2" ht="13" x14ac:dyDescent="0.15">
      <c r="B65" s="43"/>
    </row>
    <row r="66" spans="2:2" ht="13" x14ac:dyDescent="0.15">
      <c r="B66" s="43"/>
    </row>
    <row r="67" spans="2:2" ht="13" x14ac:dyDescent="0.15">
      <c r="B67" s="43"/>
    </row>
    <row r="68" spans="2:2" ht="13" x14ac:dyDescent="0.15">
      <c r="B68" s="43"/>
    </row>
    <row r="69" spans="2:2" ht="13" x14ac:dyDescent="0.15">
      <c r="B69" s="43"/>
    </row>
    <row r="70" spans="2:2" ht="13" x14ac:dyDescent="0.15">
      <c r="B70" s="43"/>
    </row>
    <row r="71" spans="2:2" ht="13" x14ac:dyDescent="0.15">
      <c r="B71" s="43"/>
    </row>
    <row r="72" spans="2:2" ht="13" x14ac:dyDescent="0.15">
      <c r="B72" s="43"/>
    </row>
    <row r="73" spans="2:2" ht="13" x14ac:dyDescent="0.15">
      <c r="B73" s="43"/>
    </row>
    <row r="74" spans="2:2" ht="13" x14ac:dyDescent="0.15">
      <c r="B74" s="43"/>
    </row>
    <row r="75" spans="2:2" ht="13" x14ac:dyDescent="0.15">
      <c r="B75" s="43"/>
    </row>
    <row r="76" spans="2:2" ht="13" x14ac:dyDescent="0.15">
      <c r="B76" s="43"/>
    </row>
    <row r="77" spans="2:2" ht="13" x14ac:dyDescent="0.15">
      <c r="B77" s="43"/>
    </row>
    <row r="78" spans="2:2" ht="13" x14ac:dyDescent="0.15">
      <c r="B78" s="43"/>
    </row>
    <row r="79" spans="2:2" ht="13" x14ac:dyDescent="0.15">
      <c r="B79" s="43"/>
    </row>
    <row r="80" spans="2:2" ht="13" x14ac:dyDescent="0.15">
      <c r="B80" s="43"/>
    </row>
    <row r="81" spans="2:2" ht="13" x14ac:dyDescent="0.15">
      <c r="B81" s="43"/>
    </row>
    <row r="82" spans="2:2" ht="13" x14ac:dyDescent="0.15">
      <c r="B82" s="43"/>
    </row>
    <row r="83" spans="2:2" ht="13" x14ac:dyDescent="0.15">
      <c r="B83" s="43"/>
    </row>
    <row r="84" spans="2:2" ht="13" x14ac:dyDescent="0.15">
      <c r="B84" s="43"/>
    </row>
    <row r="85" spans="2:2" ht="13" x14ac:dyDescent="0.15">
      <c r="B85" s="43"/>
    </row>
    <row r="86" spans="2:2" ht="13" x14ac:dyDescent="0.15">
      <c r="B86" s="43"/>
    </row>
    <row r="87" spans="2:2" ht="13" x14ac:dyDescent="0.15">
      <c r="B87" s="43"/>
    </row>
    <row r="88" spans="2:2" ht="13" x14ac:dyDescent="0.15">
      <c r="B88" s="43"/>
    </row>
    <row r="89" spans="2:2" ht="13" x14ac:dyDescent="0.15">
      <c r="B89" s="43"/>
    </row>
    <row r="90" spans="2:2" ht="13" x14ac:dyDescent="0.15">
      <c r="B90" s="43"/>
    </row>
    <row r="91" spans="2:2" ht="13" x14ac:dyDescent="0.15">
      <c r="B91" s="43"/>
    </row>
    <row r="92" spans="2:2" ht="13" x14ac:dyDescent="0.15">
      <c r="B92" s="43"/>
    </row>
    <row r="93" spans="2:2" ht="13" x14ac:dyDescent="0.15">
      <c r="B93" s="43"/>
    </row>
    <row r="94" spans="2:2" ht="13" x14ac:dyDescent="0.15">
      <c r="B94" s="43"/>
    </row>
    <row r="95" spans="2:2" ht="13" x14ac:dyDescent="0.15">
      <c r="B95" s="43"/>
    </row>
    <row r="96" spans="2:2" ht="13" x14ac:dyDescent="0.15">
      <c r="B96" s="43"/>
    </row>
    <row r="97" spans="2:2" ht="13" x14ac:dyDescent="0.15">
      <c r="B97" s="43"/>
    </row>
    <row r="98" spans="2:2" ht="13" x14ac:dyDescent="0.15">
      <c r="B98" s="43"/>
    </row>
    <row r="99" spans="2:2" ht="13" x14ac:dyDescent="0.15">
      <c r="B99" s="43"/>
    </row>
    <row r="100" spans="2:2" ht="13" x14ac:dyDescent="0.15">
      <c r="B100" s="43"/>
    </row>
    <row r="101" spans="2:2" ht="13" x14ac:dyDescent="0.15">
      <c r="B101" s="43"/>
    </row>
    <row r="102" spans="2:2" ht="13" x14ac:dyDescent="0.15">
      <c r="B102" s="43"/>
    </row>
    <row r="103" spans="2:2" ht="13" x14ac:dyDescent="0.15">
      <c r="B103" s="43"/>
    </row>
    <row r="104" spans="2:2" ht="13" x14ac:dyDescent="0.15">
      <c r="B104" s="43"/>
    </row>
    <row r="105" spans="2:2" ht="13" x14ac:dyDescent="0.15">
      <c r="B105" s="43"/>
    </row>
    <row r="106" spans="2:2" ht="13" x14ac:dyDescent="0.15">
      <c r="B106" s="43"/>
    </row>
    <row r="107" spans="2:2" ht="13" x14ac:dyDescent="0.15">
      <c r="B107" s="43"/>
    </row>
    <row r="108" spans="2:2" ht="13" x14ac:dyDescent="0.15">
      <c r="B108" s="43"/>
    </row>
    <row r="109" spans="2:2" ht="13" x14ac:dyDescent="0.15">
      <c r="B109" s="43"/>
    </row>
    <row r="110" spans="2:2" ht="13" x14ac:dyDescent="0.15">
      <c r="B110" s="43"/>
    </row>
    <row r="111" spans="2:2" ht="13" x14ac:dyDescent="0.15">
      <c r="B111" s="43"/>
    </row>
    <row r="112" spans="2:2" ht="13" x14ac:dyDescent="0.15">
      <c r="B112" s="43"/>
    </row>
    <row r="113" spans="2:2" ht="13" x14ac:dyDescent="0.15">
      <c r="B113" s="43"/>
    </row>
    <row r="114" spans="2:2" ht="13" x14ac:dyDescent="0.15">
      <c r="B114" s="43"/>
    </row>
    <row r="115" spans="2:2" ht="13" x14ac:dyDescent="0.15">
      <c r="B115" s="43"/>
    </row>
    <row r="116" spans="2:2" ht="13" x14ac:dyDescent="0.15">
      <c r="B116" s="43"/>
    </row>
    <row r="117" spans="2:2" ht="13" x14ac:dyDescent="0.15">
      <c r="B117" s="43"/>
    </row>
    <row r="118" spans="2:2" ht="13" x14ac:dyDescent="0.15">
      <c r="B118" s="43"/>
    </row>
    <row r="119" spans="2:2" ht="13" x14ac:dyDescent="0.15">
      <c r="B119" s="43"/>
    </row>
    <row r="120" spans="2:2" ht="13" x14ac:dyDescent="0.15">
      <c r="B120" s="43"/>
    </row>
    <row r="121" spans="2:2" ht="13" x14ac:dyDescent="0.15">
      <c r="B121" s="43"/>
    </row>
    <row r="122" spans="2:2" ht="13" x14ac:dyDescent="0.15">
      <c r="B122" s="43"/>
    </row>
    <row r="123" spans="2:2" ht="13" x14ac:dyDescent="0.15">
      <c r="B123" s="43"/>
    </row>
    <row r="124" spans="2:2" ht="13" x14ac:dyDescent="0.15">
      <c r="B124" s="43"/>
    </row>
    <row r="125" spans="2:2" ht="13" x14ac:dyDescent="0.15">
      <c r="B125" s="43"/>
    </row>
    <row r="126" spans="2:2" ht="13" x14ac:dyDescent="0.15">
      <c r="B126" s="43"/>
    </row>
    <row r="127" spans="2:2" ht="13" x14ac:dyDescent="0.15">
      <c r="B127" s="43"/>
    </row>
    <row r="128" spans="2:2" ht="13" x14ac:dyDescent="0.15">
      <c r="B128" s="43"/>
    </row>
    <row r="129" spans="2:2" ht="13" x14ac:dyDescent="0.15">
      <c r="B129" s="43"/>
    </row>
    <row r="130" spans="2:2" ht="13" x14ac:dyDescent="0.15">
      <c r="B130" s="43"/>
    </row>
    <row r="131" spans="2:2" ht="13" x14ac:dyDescent="0.15">
      <c r="B131" s="43"/>
    </row>
    <row r="132" spans="2:2" ht="13" x14ac:dyDescent="0.15">
      <c r="B132" s="43"/>
    </row>
    <row r="133" spans="2:2" ht="13" x14ac:dyDescent="0.15">
      <c r="B133" s="43"/>
    </row>
    <row r="134" spans="2:2" ht="13" x14ac:dyDescent="0.15">
      <c r="B134" s="43"/>
    </row>
    <row r="135" spans="2:2" ht="13" x14ac:dyDescent="0.15">
      <c r="B135" s="43"/>
    </row>
    <row r="136" spans="2:2" ht="13" x14ac:dyDescent="0.15">
      <c r="B136" s="43"/>
    </row>
    <row r="137" spans="2:2" ht="13" x14ac:dyDescent="0.15">
      <c r="B137" s="43"/>
    </row>
    <row r="138" spans="2:2" ht="13" x14ac:dyDescent="0.15">
      <c r="B138" s="43"/>
    </row>
    <row r="139" spans="2:2" ht="13" x14ac:dyDescent="0.15">
      <c r="B139" s="43"/>
    </row>
    <row r="140" spans="2:2" ht="13" x14ac:dyDescent="0.15">
      <c r="B140" s="43"/>
    </row>
    <row r="141" spans="2:2" ht="13" x14ac:dyDescent="0.15">
      <c r="B141" s="43"/>
    </row>
    <row r="142" spans="2:2" ht="13" x14ac:dyDescent="0.15">
      <c r="B142" s="43"/>
    </row>
    <row r="143" spans="2:2" ht="13" x14ac:dyDescent="0.15">
      <c r="B143" s="43"/>
    </row>
    <row r="144" spans="2:2" ht="13" x14ac:dyDescent="0.15">
      <c r="B144" s="43"/>
    </row>
    <row r="145" spans="2:2" ht="13" x14ac:dyDescent="0.15">
      <c r="B145" s="43"/>
    </row>
    <row r="146" spans="2:2" ht="13" x14ac:dyDescent="0.15">
      <c r="B146" s="43"/>
    </row>
    <row r="147" spans="2:2" ht="13" x14ac:dyDescent="0.15">
      <c r="B147" s="43"/>
    </row>
    <row r="148" spans="2:2" ht="13" x14ac:dyDescent="0.15">
      <c r="B148" s="43"/>
    </row>
    <row r="149" spans="2:2" ht="13" x14ac:dyDescent="0.15">
      <c r="B149" s="43"/>
    </row>
    <row r="150" spans="2:2" ht="13" x14ac:dyDescent="0.15">
      <c r="B150" s="43"/>
    </row>
    <row r="151" spans="2:2" ht="13" x14ac:dyDescent="0.15">
      <c r="B151" s="43"/>
    </row>
    <row r="152" spans="2:2" ht="13" x14ac:dyDescent="0.15">
      <c r="B152" s="43"/>
    </row>
    <row r="153" spans="2:2" ht="13" x14ac:dyDescent="0.15">
      <c r="B153" s="43"/>
    </row>
    <row r="154" spans="2:2" ht="13" x14ac:dyDescent="0.15">
      <c r="B154" s="43"/>
    </row>
    <row r="155" spans="2:2" ht="13" x14ac:dyDescent="0.15">
      <c r="B155" s="43"/>
    </row>
    <row r="156" spans="2:2" ht="13" x14ac:dyDescent="0.15">
      <c r="B156" s="43"/>
    </row>
    <row r="157" spans="2:2" ht="13" x14ac:dyDescent="0.15">
      <c r="B157" s="43"/>
    </row>
    <row r="158" spans="2:2" ht="13" x14ac:dyDescent="0.15">
      <c r="B158" s="43"/>
    </row>
    <row r="159" spans="2:2" ht="13" x14ac:dyDescent="0.15">
      <c r="B159" s="43"/>
    </row>
    <row r="160" spans="2:2" ht="13" x14ac:dyDescent="0.15">
      <c r="B160" s="43"/>
    </row>
    <row r="161" spans="2:2" ht="13" x14ac:dyDescent="0.15">
      <c r="B161" s="43"/>
    </row>
    <row r="162" spans="2:2" ht="13" x14ac:dyDescent="0.15">
      <c r="B162" s="43"/>
    </row>
    <row r="163" spans="2:2" ht="13" x14ac:dyDescent="0.15">
      <c r="B163" s="43"/>
    </row>
    <row r="164" spans="2:2" ht="13" x14ac:dyDescent="0.15">
      <c r="B164" s="43"/>
    </row>
    <row r="165" spans="2:2" ht="13" x14ac:dyDescent="0.15">
      <c r="B165" s="43"/>
    </row>
    <row r="166" spans="2:2" ht="13" x14ac:dyDescent="0.15">
      <c r="B166" s="43"/>
    </row>
    <row r="167" spans="2:2" ht="13" x14ac:dyDescent="0.15">
      <c r="B167" s="43"/>
    </row>
    <row r="168" spans="2:2" ht="13" x14ac:dyDescent="0.15">
      <c r="B168" s="43"/>
    </row>
    <row r="169" spans="2:2" ht="13" x14ac:dyDescent="0.15">
      <c r="B169" s="43"/>
    </row>
    <row r="170" spans="2:2" ht="13" x14ac:dyDescent="0.15">
      <c r="B170" s="43"/>
    </row>
    <row r="171" spans="2:2" ht="13" x14ac:dyDescent="0.15">
      <c r="B171" s="43"/>
    </row>
    <row r="172" spans="2:2" ht="13" x14ac:dyDescent="0.15">
      <c r="B172" s="43"/>
    </row>
    <row r="173" spans="2:2" ht="13" x14ac:dyDescent="0.15">
      <c r="B173" s="43"/>
    </row>
    <row r="174" spans="2:2" ht="13" x14ac:dyDescent="0.15">
      <c r="B174" s="43"/>
    </row>
    <row r="175" spans="2:2" ht="13" x14ac:dyDescent="0.15">
      <c r="B175" s="43"/>
    </row>
    <row r="176" spans="2:2" ht="13" x14ac:dyDescent="0.15">
      <c r="B176" s="43"/>
    </row>
    <row r="177" spans="2:2" ht="13" x14ac:dyDescent="0.15">
      <c r="B177" s="43"/>
    </row>
    <row r="178" spans="2:2" ht="13" x14ac:dyDescent="0.15">
      <c r="B178" s="43"/>
    </row>
    <row r="179" spans="2:2" ht="13" x14ac:dyDescent="0.15">
      <c r="B179" s="43"/>
    </row>
    <row r="180" spans="2:2" ht="13" x14ac:dyDescent="0.15">
      <c r="B180" s="43"/>
    </row>
    <row r="181" spans="2:2" ht="13" x14ac:dyDescent="0.15">
      <c r="B181" s="43"/>
    </row>
    <row r="182" spans="2:2" ht="13" x14ac:dyDescent="0.15">
      <c r="B182" s="43"/>
    </row>
    <row r="183" spans="2:2" ht="13" x14ac:dyDescent="0.15">
      <c r="B183" s="43"/>
    </row>
    <row r="184" spans="2:2" ht="13" x14ac:dyDescent="0.15">
      <c r="B184" s="43"/>
    </row>
    <row r="185" spans="2:2" ht="13" x14ac:dyDescent="0.15">
      <c r="B185" s="43"/>
    </row>
    <row r="186" spans="2:2" ht="13" x14ac:dyDescent="0.15">
      <c r="B186" s="43"/>
    </row>
    <row r="187" spans="2:2" ht="13" x14ac:dyDescent="0.15">
      <c r="B187" s="43"/>
    </row>
    <row r="188" spans="2:2" ht="13" x14ac:dyDescent="0.15">
      <c r="B188" s="43"/>
    </row>
    <row r="189" spans="2:2" ht="13" x14ac:dyDescent="0.15">
      <c r="B189" s="43"/>
    </row>
    <row r="190" spans="2:2" ht="13" x14ac:dyDescent="0.15">
      <c r="B190" s="43"/>
    </row>
    <row r="191" spans="2:2" ht="13" x14ac:dyDescent="0.15">
      <c r="B191" s="43"/>
    </row>
    <row r="192" spans="2:2" ht="13" x14ac:dyDescent="0.15">
      <c r="B192" s="43"/>
    </row>
    <row r="193" spans="2:2" ht="13" x14ac:dyDescent="0.15">
      <c r="B193" s="43"/>
    </row>
    <row r="194" spans="2:2" ht="13" x14ac:dyDescent="0.15">
      <c r="B194" s="43"/>
    </row>
    <row r="195" spans="2:2" ht="13" x14ac:dyDescent="0.15">
      <c r="B195" s="43"/>
    </row>
    <row r="196" spans="2:2" ht="13" x14ac:dyDescent="0.15">
      <c r="B196" s="43"/>
    </row>
    <row r="197" spans="2:2" ht="13" x14ac:dyDescent="0.15">
      <c r="B197" s="43"/>
    </row>
    <row r="198" spans="2:2" ht="13" x14ac:dyDescent="0.15">
      <c r="B198" s="43"/>
    </row>
    <row r="199" spans="2:2" ht="13" x14ac:dyDescent="0.15">
      <c r="B199" s="43"/>
    </row>
    <row r="200" spans="2:2" ht="13" x14ac:dyDescent="0.15">
      <c r="B200" s="43"/>
    </row>
    <row r="201" spans="2:2" ht="13" x14ac:dyDescent="0.15">
      <c r="B201" s="43"/>
    </row>
    <row r="202" spans="2:2" ht="13" x14ac:dyDescent="0.15">
      <c r="B202" s="43"/>
    </row>
    <row r="203" spans="2:2" ht="13" x14ac:dyDescent="0.15">
      <c r="B203" s="43"/>
    </row>
    <row r="204" spans="2:2" ht="13" x14ac:dyDescent="0.15">
      <c r="B204" s="43"/>
    </row>
    <row r="205" spans="2:2" ht="13" x14ac:dyDescent="0.15">
      <c r="B205" s="43"/>
    </row>
    <row r="206" spans="2:2" ht="13" x14ac:dyDescent="0.15">
      <c r="B206" s="43"/>
    </row>
    <row r="207" spans="2:2" ht="13" x14ac:dyDescent="0.15">
      <c r="B207" s="43"/>
    </row>
    <row r="208" spans="2:2" ht="13" x14ac:dyDescent="0.15">
      <c r="B208" s="43"/>
    </row>
    <row r="209" spans="2:2" ht="13" x14ac:dyDescent="0.15">
      <c r="B209" s="43"/>
    </row>
    <row r="210" spans="2:2" ht="13" x14ac:dyDescent="0.15">
      <c r="B210" s="43"/>
    </row>
    <row r="211" spans="2:2" ht="13" x14ac:dyDescent="0.15">
      <c r="B211" s="43"/>
    </row>
    <row r="212" spans="2:2" ht="13" x14ac:dyDescent="0.15">
      <c r="B212" s="43"/>
    </row>
    <row r="213" spans="2:2" ht="13" x14ac:dyDescent="0.15">
      <c r="B213" s="43"/>
    </row>
    <row r="214" spans="2:2" ht="13" x14ac:dyDescent="0.15">
      <c r="B214" s="43"/>
    </row>
    <row r="215" spans="2:2" ht="13" x14ac:dyDescent="0.15">
      <c r="B215" s="43"/>
    </row>
    <row r="216" spans="2:2" ht="13" x14ac:dyDescent="0.15">
      <c r="B216" s="43"/>
    </row>
    <row r="217" spans="2:2" ht="13" x14ac:dyDescent="0.15">
      <c r="B217" s="43"/>
    </row>
    <row r="218" spans="2:2" ht="13" x14ac:dyDescent="0.15">
      <c r="B218" s="43"/>
    </row>
    <row r="219" spans="2:2" ht="13" x14ac:dyDescent="0.15">
      <c r="B219" s="43"/>
    </row>
    <row r="220" spans="2:2" ht="13" x14ac:dyDescent="0.15">
      <c r="B220" s="43"/>
    </row>
    <row r="221" spans="2:2" ht="13" x14ac:dyDescent="0.15">
      <c r="B221" s="43"/>
    </row>
    <row r="222" spans="2:2" ht="13" x14ac:dyDescent="0.15">
      <c r="B222" s="43"/>
    </row>
    <row r="223" spans="2:2" ht="13" x14ac:dyDescent="0.15">
      <c r="B223" s="43"/>
    </row>
    <row r="224" spans="2:2" ht="13" x14ac:dyDescent="0.15">
      <c r="B224" s="43"/>
    </row>
    <row r="225" spans="2:2" ht="13" x14ac:dyDescent="0.15">
      <c r="B225" s="43"/>
    </row>
    <row r="226" spans="2:2" ht="13" x14ac:dyDescent="0.15">
      <c r="B226" s="43"/>
    </row>
    <row r="227" spans="2:2" ht="13" x14ac:dyDescent="0.15">
      <c r="B227" s="43"/>
    </row>
    <row r="228" spans="2:2" ht="13" x14ac:dyDescent="0.15">
      <c r="B228" s="43"/>
    </row>
    <row r="229" spans="2:2" ht="13" x14ac:dyDescent="0.15">
      <c r="B229" s="43"/>
    </row>
    <row r="230" spans="2:2" ht="13" x14ac:dyDescent="0.15">
      <c r="B230" s="43"/>
    </row>
    <row r="231" spans="2:2" ht="13" x14ac:dyDescent="0.15">
      <c r="B231" s="43"/>
    </row>
    <row r="232" spans="2:2" ht="13" x14ac:dyDescent="0.15">
      <c r="B232" s="43"/>
    </row>
    <row r="233" spans="2:2" ht="13" x14ac:dyDescent="0.15">
      <c r="B233" s="43"/>
    </row>
    <row r="234" spans="2:2" ht="13" x14ac:dyDescent="0.15">
      <c r="B234" s="43"/>
    </row>
    <row r="235" spans="2:2" ht="13" x14ac:dyDescent="0.15">
      <c r="B235" s="43"/>
    </row>
    <row r="236" spans="2:2" ht="13" x14ac:dyDescent="0.15">
      <c r="B236" s="43"/>
    </row>
    <row r="237" spans="2:2" ht="13" x14ac:dyDescent="0.15">
      <c r="B237" s="43"/>
    </row>
    <row r="238" spans="2:2" ht="13" x14ac:dyDescent="0.15">
      <c r="B238" s="43"/>
    </row>
    <row r="239" spans="2:2" ht="13" x14ac:dyDescent="0.15">
      <c r="B239" s="43"/>
    </row>
    <row r="240" spans="2:2" ht="13" x14ac:dyDescent="0.15">
      <c r="B240" s="43"/>
    </row>
    <row r="241" spans="2:2" ht="13" x14ac:dyDescent="0.15">
      <c r="B241" s="43"/>
    </row>
    <row r="242" spans="2:2" ht="13" x14ac:dyDescent="0.15">
      <c r="B242" s="43"/>
    </row>
    <row r="243" spans="2:2" ht="13" x14ac:dyDescent="0.15">
      <c r="B243" s="43"/>
    </row>
    <row r="244" spans="2:2" ht="13" x14ac:dyDescent="0.15">
      <c r="B244" s="43"/>
    </row>
    <row r="245" spans="2:2" ht="13" x14ac:dyDescent="0.15">
      <c r="B245" s="43"/>
    </row>
    <row r="246" spans="2:2" ht="13" x14ac:dyDescent="0.15">
      <c r="B246" s="43"/>
    </row>
    <row r="247" spans="2:2" ht="13" x14ac:dyDescent="0.15">
      <c r="B247" s="43"/>
    </row>
    <row r="248" spans="2:2" ht="13" x14ac:dyDescent="0.15">
      <c r="B248" s="43"/>
    </row>
    <row r="249" spans="2:2" ht="13" x14ac:dyDescent="0.15">
      <c r="B249" s="43"/>
    </row>
    <row r="250" spans="2:2" ht="13" x14ac:dyDescent="0.15">
      <c r="B250" s="43"/>
    </row>
    <row r="251" spans="2:2" ht="13" x14ac:dyDescent="0.15">
      <c r="B251" s="43"/>
    </row>
    <row r="252" spans="2:2" ht="13" x14ac:dyDescent="0.15">
      <c r="B252" s="43"/>
    </row>
    <row r="253" spans="2:2" ht="13" x14ac:dyDescent="0.15">
      <c r="B253" s="43"/>
    </row>
    <row r="254" spans="2:2" ht="13" x14ac:dyDescent="0.15">
      <c r="B254" s="43"/>
    </row>
    <row r="255" spans="2:2" ht="13" x14ac:dyDescent="0.15">
      <c r="B255" s="43"/>
    </row>
    <row r="256" spans="2:2" ht="13" x14ac:dyDescent="0.15">
      <c r="B256" s="43"/>
    </row>
    <row r="257" spans="2:2" ht="13" x14ac:dyDescent="0.15">
      <c r="B257" s="43"/>
    </row>
    <row r="258" spans="2:2" ht="13" x14ac:dyDescent="0.15">
      <c r="B258" s="43"/>
    </row>
    <row r="259" spans="2:2" ht="13" x14ac:dyDescent="0.15">
      <c r="B259" s="43"/>
    </row>
    <row r="260" spans="2:2" ht="13" x14ac:dyDescent="0.15">
      <c r="B260" s="43"/>
    </row>
    <row r="261" spans="2:2" ht="13" x14ac:dyDescent="0.15">
      <c r="B261" s="43"/>
    </row>
    <row r="262" spans="2:2" ht="13" x14ac:dyDescent="0.15">
      <c r="B262" s="43"/>
    </row>
    <row r="263" spans="2:2" ht="13" x14ac:dyDescent="0.15">
      <c r="B263" s="43"/>
    </row>
    <row r="264" spans="2:2" ht="13" x14ac:dyDescent="0.15">
      <c r="B264" s="43"/>
    </row>
    <row r="265" spans="2:2" ht="13" x14ac:dyDescent="0.15">
      <c r="B265" s="43"/>
    </row>
    <row r="266" spans="2:2" ht="13" x14ac:dyDescent="0.15">
      <c r="B266" s="43"/>
    </row>
    <row r="267" spans="2:2" ht="13" x14ac:dyDescent="0.15">
      <c r="B267" s="43"/>
    </row>
    <row r="268" spans="2:2" ht="13" x14ac:dyDescent="0.15">
      <c r="B268" s="43"/>
    </row>
    <row r="269" spans="2:2" ht="13" x14ac:dyDescent="0.15">
      <c r="B269" s="43"/>
    </row>
    <row r="270" spans="2:2" ht="13" x14ac:dyDescent="0.15">
      <c r="B270" s="43"/>
    </row>
    <row r="271" spans="2:2" ht="13" x14ac:dyDescent="0.15">
      <c r="B271" s="43"/>
    </row>
    <row r="272" spans="2:2" ht="13" x14ac:dyDescent="0.15">
      <c r="B272" s="43"/>
    </row>
    <row r="273" spans="2:2" ht="13" x14ac:dyDescent="0.15">
      <c r="B273" s="43"/>
    </row>
    <row r="274" spans="2:2" ht="13" x14ac:dyDescent="0.15">
      <c r="B274" s="43"/>
    </row>
    <row r="275" spans="2:2" ht="13" x14ac:dyDescent="0.15">
      <c r="B275" s="43"/>
    </row>
    <row r="276" spans="2:2" ht="13" x14ac:dyDescent="0.15">
      <c r="B276" s="43"/>
    </row>
    <row r="277" spans="2:2" ht="13" x14ac:dyDescent="0.15">
      <c r="B277" s="43"/>
    </row>
    <row r="278" spans="2:2" ht="13" x14ac:dyDescent="0.15">
      <c r="B278" s="43"/>
    </row>
    <row r="279" spans="2:2" ht="13" x14ac:dyDescent="0.15">
      <c r="B279" s="43"/>
    </row>
    <row r="280" spans="2:2" ht="13" x14ac:dyDescent="0.15">
      <c r="B280" s="43"/>
    </row>
    <row r="281" spans="2:2" ht="13" x14ac:dyDescent="0.15">
      <c r="B281" s="43"/>
    </row>
    <row r="282" spans="2:2" ht="13" x14ac:dyDescent="0.15">
      <c r="B282" s="43"/>
    </row>
    <row r="283" spans="2:2" ht="13" x14ac:dyDescent="0.15">
      <c r="B283" s="43"/>
    </row>
    <row r="284" spans="2:2" ht="13" x14ac:dyDescent="0.15">
      <c r="B284" s="43"/>
    </row>
    <row r="285" spans="2:2" ht="13" x14ac:dyDescent="0.15">
      <c r="B285" s="43"/>
    </row>
    <row r="286" spans="2:2" ht="13" x14ac:dyDescent="0.15">
      <c r="B286" s="43"/>
    </row>
    <row r="287" spans="2:2" ht="13" x14ac:dyDescent="0.15">
      <c r="B287" s="43"/>
    </row>
    <row r="288" spans="2:2" ht="13" x14ac:dyDescent="0.15">
      <c r="B288" s="43"/>
    </row>
    <row r="289" spans="2:2" ht="13" x14ac:dyDescent="0.15">
      <c r="B289" s="43"/>
    </row>
    <row r="290" spans="2:2" ht="13" x14ac:dyDescent="0.15">
      <c r="B290" s="43"/>
    </row>
    <row r="291" spans="2:2" ht="13" x14ac:dyDescent="0.15">
      <c r="B291" s="43"/>
    </row>
    <row r="292" spans="2:2" ht="13" x14ac:dyDescent="0.15">
      <c r="B292" s="43"/>
    </row>
    <row r="293" spans="2:2" ht="13" x14ac:dyDescent="0.15">
      <c r="B293" s="43"/>
    </row>
    <row r="294" spans="2:2" ht="13" x14ac:dyDescent="0.15">
      <c r="B294" s="43"/>
    </row>
    <row r="295" spans="2:2" ht="13" x14ac:dyDescent="0.15">
      <c r="B295" s="43"/>
    </row>
    <row r="296" spans="2:2" ht="13" x14ac:dyDescent="0.15">
      <c r="B296" s="43"/>
    </row>
    <row r="297" spans="2:2" ht="13" x14ac:dyDescent="0.15">
      <c r="B297" s="43"/>
    </row>
    <row r="298" spans="2:2" ht="13" x14ac:dyDescent="0.15">
      <c r="B298" s="43"/>
    </row>
    <row r="299" spans="2:2" ht="13" x14ac:dyDescent="0.15">
      <c r="B299" s="43"/>
    </row>
    <row r="300" spans="2:2" ht="13" x14ac:dyDescent="0.15">
      <c r="B300" s="43"/>
    </row>
    <row r="301" spans="2:2" ht="13" x14ac:dyDescent="0.15">
      <c r="B301" s="43"/>
    </row>
    <row r="302" spans="2:2" ht="13" x14ac:dyDescent="0.15">
      <c r="B302" s="43"/>
    </row>
    <row r="303" spans="2:2" ht="13" x14ac:dyDescent="0.15">
      <c r="B303" s="43"/>
    </row>
    <row r="304" spans="2:2" ht="13" x14ac:dyDescent="0.15">
      <c r="B304" s="43"/>
    </row>
    <row r="305" spans="2:2" ht="13" x14ac:dyDescent="0.15">
      <c r="B305" s="43"/>
    </row>
    <row r="306" spans="2:2" ht="13" x14ac:dyDescent="0.15">
      <c r="B306" s="43"/>
    </row>
    <row r="307" spans="2:2" ht="13" x14ac:dyDescent="0.15">
      <c r="B307" s="43"/>
    </row>
    <row r="308" spans="2:2" ht="13" x14ac:dyDescent="0.15">
      <c r="B308" s="43"/>
    </row>
    <row r="309" spans="2:2" ht="13" x14ac:dyDescent="0.15">
      <c r="B309" s="43"/>
    </row>
    <row r="310" spans="2:2" ht="13" x14ac:dyDescent="0.15">
      <c r="B310" s="43"/>
    </row>
    <row r="311" spans="2:2" ht="13" x14ac:dyDescent="0.15">
      <c r="B311" s="43"/>
    </row>
    <row r="312" spans="2:2" ht="13" x14ac:dyDescent="0.15">
      <c r="B312" s="43"/>
    </row>
    <row r="313" spans="2:2" ht="13" x14ac:dyDescent="0.15">
      <c r="B313" s="43"/>
    </row>
    <row r="314" spans="2:2" ht="13" x14ac:dyDescent="0.15">
      <c r="B314" s="43"/>
    </row>
    <row r="315" spans="2:2" ht="13" x14ac:dyDescent="0.15">
      <c r="B315" s="43"/>
    </row>
    <row r="316" spans="2:2" ht="13" x14ac:dyDescent="0.15">
      <c r="B316" s="43"/>
    </row>
    <row r="317" spans="2:2" ht="13" x14ac:dyDescent="0.15">
      <c r="B317" s="43"/>
    </row>
    <row r="318" spans="2:2" ht="13" x14ac:dyDescent="0.15">
      <c r="B318" s="43"/>
    </row>
    <row r="319" spans="2:2" ht="13" x14ac:dyDescent="0.15">
      <c r="B319" s="43"/>
    </row>
    <row r="320" spans="2:2" ht="13" x14ac:dyDescent="0.15">
      <c r="B320" s="43"/>
    </row>
    <row r="321" spans="2:2" ht="13" x14ac:dyDescent="0.15">
      <c r="B321" s="43"/>
    </row>
    <row r="322" spans="2:2" ht="13" x14ac:dyDescent="0.15">
      <c r="B322" s="43"/>
    </row>
    <row r="323" spans="2:2" ht="13" x14ac:dyDescent="0.15">
      <c r="B323" s="43"/>
    </row>
    <row r="324" spans="2:2" ht="13" x14ac:dyDescent="0.15">
      <c r="B324" s="43"/>
    </row>
    <row r="325" spans="2:2" ht="13" x14ac:dyDescent="0.15">
      <c r="B325" s="43"/>
    </row>
    <row r="326" spans="2:2" ht="13" x14ac:dyDescent="0.15">
      <c r="B326" s="43"/>
    </row>
    <row r="327" spans="2:2" ht="13" x14ac:dyDescent="0.15">
      <c r="B327" s="43"/>
    </row>
    <row r="328" spans="2:2" ht="13" x14ac:dyDescent="0.15">
      <c r="B328" s="43"/>
    </row>
    <row r="329" spans="2:2" ht="13" x14ac:dyDescent="0.15">
      <c r="B329" s="43"/>
    </row>
    <row r="330" spans="2:2" ht="13" x14ac:dyDescent="0.15">
      <c r="B330" s="43"/>
    </row>
    <row r="331" spans="2:2" ht="13" x14ac:dyDescent="0.15">
      <c r="B331" s="43"/>
    </row>
    <row r="332" spans="2:2" ht="13" x14ac:dyDescent="0.15">
      <c r="B332" s="43"/>
    </row>
    <row r="333" spans="2:2" ht="13" x14ac:dyDescent="0.15">
      <c r="B333" s="43"/>
    </row>
    <row r="334" spans="2:2" ht="13" x14ac:dyDescent="0.15">
      <c r="B334" s="43"/>
    </row>
    <row r="335" spans="2:2" ht="13" x14ac:dyDescent="0.15">
      <c r="B335" s="43"/>
    </row>
    <row r="336" spans="2:2" ht="13" x14ac:dyDescent="0.15">
      <c r="B336" s="43"/>
    </row>
    <row r="337" spans="2:2" ht="13" x14ac:dyDescent="0.15">
      <c r="B337" s="43"/>
    </row>
    <row r="338" spans="2:2" ht="13" x14ac:dyDescent="0.15">
      <c r="B338" s="43"/>
    </row>
    <row r="339" spans="2:2" ht="13" x14ac:dyDescent="0.15">
      <c r="B339" s="43"/>
    </row>
    <row r="340" spans="2:2" ht="13" x14ac:dyDescent="0.15">
      <c r="B340" s="43"/>
    </row>
    <row r="341" spans="2:2" ht="13" x14ac:dyDescent="0.15">
      <c r="B341" s="43"/>
    </row>
    <row r="342" spans="2:2" ht="13" x14ac:dyDescent="0.15">
      <c r="B342" s="43"/>
    </row>
    <row r="343" spans="2:2" ht="13" x14ac:dyDescent="0.15">
      <c r="B343" s="43"/>
    </row>
    <row r="344" spans="2:2" ht="13" x14ac:dyDescent="0.15">
      <c r="B344" s="43"/>
    </row>
    <row r="345" spans="2:2" ht="13" x14ac:dyDescent="0.15">
      <c r="B345" s="43"/>
    </row>
    <row r="346" spans="2:2" ht="13" x14ac:dyDescent="0.15">
      <c r="B346" s="43"/>
    </row>
    <row r="347" spans="2:2" ht="13" x14ac:dyDescent="0.15">
      <c r="B347" s="43"/>
    </row>
    <row r="348" spans="2:2" ht="13" x14ac:dyDescent="0.15">
      <c r="B348" s="43"/>
    </row>
    <row r="349" spans="2:2" ht="13" x14ac:dyDescent="0.15">
      <c r="B349" s="43"/>
    </row>
    <row r="350" spans="2:2" ht="13" x14ac:dyDescent="0.15">
      <c r="B350" s="43"/>
    </row>
    <row r="351" spans="2:2" ht="13" x14ac:dyDescent="0.15">
      <c r="B351" s="43"/>
    </row>
    <row r="352" spans="2:2" ht="13" x14ac:dyDescent="0.15">
      <c r="B352" s="43"/>
    </row>
    <row r="353" spans="2:2" ht="13" x14ac:dyDescent="0.15">
      <c r="B353" s="43"/>
    </row>
    <row r="354" spans="2:2" ht="13" x14ac:dyDescent="0.15">
      <c r="B354" s="43"/>
    </row>
    <row r="355" spans="2:2" ht="13" x14ac:dyDescent="0.15">
      <c r="B355" s="43"/>
    </row>
    <row r="356" spans="2:2" ht="13" x14ac:dyDescent="0.15">
      <c r="B356" s="43"/>
    </row>
    <row r="357" spans="2:2" ht="13" x14ac:dyDescent="0.15">
      <c r="B357" s="43"/>
    </row>
    <row r="358" spans="2:2" ht="13" x14ac:dyDescent="0.15">
      <c r="B358" s="43"/>
    </row>
    <row r="359" spans="2:2" ht="13" x14ac:dyDescent="0.15">
      <c r="B359" s="43"/>
    </row>
    <row r="360" spans="2:2" ht="13" x14ac:dyDescent="0.15">
      <c r="B360" s="43"/>
    </row>
    <row r="361" spans="2:2" ht="13" x14ac:dyDescent="0.15">
      <c r="B361" s="43"/>
    </row>
    <row r="362" spans="2:2" ht="13" x14ac:dyDescent="0.15">
      <c r="B362" s="43"/>
    </row>
    <row r="363" spans="2:2" ht="13" x14ac:dyDescent="0.15">
      <c r="B363" s="43"/>
    </row>
    <row r="364" spans="2:2" ht="13" x14ac:dyDescent="0.15">
      <c r="B364" s="43"/>
    </row>
    <row r="365" spans="2:2" ht="13" x14ac:dyDescent="0.15">
      <c r="B365" s="43"/>
    </row>
    <row r="366" spans="2:2" ht="13" x14ac:dyDescent="0.15">
      <c r="B366" s="43"/>
    </row>
    <row r="367" spans="2:2" ht="13" x14ac:dyDescent="0.15">
      <c r="B367" s="43"/>
    </row>
    <row r="368" spans="2:2" ht="13" x14ac:dyDescent="0.15">
      <c r="B368" s="43"/>
    </row>
    <row r="369" spans="2:2" ht="13" x14ac:dyDescent="0.15">
      <c r="B369" s="43"/>
    </row>
    <row r="370" spans="2:2" ht="13" x14ac:dyDescent="0.15">
      <c r="B370" s="43"/>
    </row>
    <row r="371" spans="2:2" ht="13" x14ac:dyDescent="0.15">
      <c r="B371" s="43"/>
    </row>
    <row r="372" spans="2:2" ht="13" x14ac:dyDescent="0.15">
      <c r="B372" s="43"/>
    </row>
    <row r="373" spans="2:2" ht="13" x14ac:dyDescent="0.15">
      <c r="B373" s="43"/>
    </row>
    <row r="374" spans="2:2" ht="13" x14ac:dyDescent="0.15">
      <c r="B374" s="43"/>
    </row>
    <row r="375" spans="2:2" ht="13" x14ac:dyDescent="0.15">
      <c r="B375" s="43"/>
    </row>
    <row r="376" spans="2:2" ht="13" x14ac:dyDescent="0.15">
      <c r="B376" s="43"/>
    </row>
    <row r="377" spans="2:2" ht="13" x14ac:dyDescent="0.15">
      <c r="B377" s="43"/>
    </row>
    <row r="378" spans="2:2" ht="13" x14ac:dyDescent="0.15">
      <c r="B378" s="43"/>
    </row>
    <row r="379" spans="2:2" ht="13" x14ac:dyDescent="0.15">
      <c r="B379" s="43"/>
    </row>
    <row r="380" spans="2:2" ht="13" x14ac:dyDescent="0.15">
      <c r="B380" s="43"/>
    </row>
    <row r="381" spans="2:2" ht="13" x14ac:dyDescent="0.15">
      <c r="B381" s="43"/>
    </row>
    <row r="382" spans="2:2" ht="13" x14ac:dyDescent="0.15">
      <c r="B382" s="43"/>
    </row>
    <row r="383" spans="2:2" ht="13" x14ac:dyDescent="0.15">
      <c r="B383" s="43"/>
    </row>
    <row r="384" spans="2:2" ht="13" x14ac:dyDescent="0.15">
      <c r="B384" s="43"/>
    </row>
    <row r="385" spans="2:2" ht="13" x14ac:dyDescent="0.15">
      <c r="B385" s="43"/>
    </row>
    <row r="386" spans="2:2" ht="13" x14ac:dyDescent="0.15">
      <c r="B386" s="43"/>
    </row>
    <row r="387" spans="2:2" ht="13" x14ac:dyDescent="0.15">
      <c r="B387" s="43"/>
    </row>
    <row r="388" spans="2:2" ht="13" x14ac:dyDescent="0.15">
      <c r="B388" s="43"/>
    </row>
    <row r="389" spans="2:2" ht="13" x14ac:dyDescent="0.15">
      <c r="B389" s="43"/>
    </row>
    <row r="390" spans="2:2" ht="13" x14ac:dyDescent="0.15">
      <c r="B390" s="43"/>
    </row>
    <row r="391" spans="2:2" ht="13" x14ac:dyDescent="0.15">
      <c r="B391" s="43"/>
    </row>
    <row r="392" spans="2:2" ht="13" x14ac:dyDescent="0.15">
      <c r="B392" s="43"/>
    </row>
    <row r="393" spans="2:2" ht="13" x14ac:dyDescent="0.15">
      <c r="B393" s="43"/>
    </row>
    <row r="394" spans="2:2" ht="13" x14ac:dyDescent="0.15">
      <c r="B394" s="43"/>
    </row>
    <row r="395" spans="2:2" ht="13" x14ac:dyDescent="0.15">
      <c r="B395" s="43"/>
    </row>
    <row r="396" spans="2:2" ht="13" x14ac:dyDescent="0.15">
      <c r="B396" s="43"/>
    </row>
    <row r="397" spans="2:2" ht="13" x14ac:dyDescent="0.15">
      <c r="B397" s="43"/>
    </row>
    <row r="398" spans="2:2" ht="13" x14ac:dyDescent="0.15">
      <c r="B398" s="43"/>
    </row>
    <row r="399" spans="2:2" ht="13" x14ac:dyDescent="0.15">
      <c r="B399" s="43"/>
    </row>
    <row r="400" spans="2:2" ht="13" x14ac:dyDescent="0.15">
      <c r="B400" s="43"/>
    </row>
    <row r="401" spans="2:2" ht="13" x14ac:dyDescent="0.15">
      <c r="B401" s="43"/>
    </row>
    <row r="402" spans="2:2" ht="13" x14ac:dyDescent="0.15">
      <c r="B402" s="43"/>
    </row>
    <row r="403" spans="2:2" ht="13" x14ac:dyDescent="0.15">
      <c r="B403" s="43"/>
    </row>
    <row r="404" spans="2:2" ht="13" x14ac:dyDescent="0.15">
      <c r="B404" s="43"/>
    </row>
    <row r="405" spans="2:2" ht="13" x14ac:dyDescent="0.15">
      <c r="B405" s="43"/>
    </row>
    <row r="406" spans="2:2" ht="13" x14ac:dyDescent="0.15">
      <c r="B406" s="43"/>
    </row>
    <row r="407" spans="2:2" ht="13" x14ac:dyDescent="0.15">
      <c r="B407" s="43"/>
    </row>
    <row r="408" spans="2:2" ht="13" x14ac:dyDescent="0.15">
      <c r="B408" s="43"/>
    </row>
    <row r="409" spans="2:2" ht="13" x14ac:dyDescent="0.15">
      <c r="B409" s="43"/>
    </row>
    <row r="410" spans="2:2" ht="13" x14ac:dyDescent="0.15">
      <c r="B410" s="43"/>
    </row>
    <row r="411" spans="2:2" ht="13" x14ac:dyDescent="0.15">
      <c r="B411" s="43"/>
    </row>
    <row r="412" spans="2:2" ht="13" x14ac:dyDescent="0.15">
      <c r="B412" s="43"/>
    </row>
    <row r="413" spans="2:2" ht="13" x14ac:dyDescent="0.15">
      <c r="B413" s="43"/>
    </row>
    <row r="414" spans="2:2" ht="13" x14ac:dyDescent="0.15">
      <c r="B414" s="43"/>
    </row>
    <row r="415" spans="2:2" ht="13" x14ac:dyDescent="0.15">
      <c r="B415" s="43"/>
    </row>
    <row r="416" spans="2:2" ht="13" x14ac:dyDescent="0.15">
      <c r="B416" s="43"/>
    </row>
    <row r="417" spans="2:2" ht="13" x14ac:dyDescent="0.15">
      <c r="B417" s="43"/>
    </row>
    <row r="418" spans="2:2" ht="13" x14ac:dyDescent="0.15">
      <c r="B418" s="43"/>
    </row>
    <row r="419" spans="2:2" ht="13" x14ac:dyDescent="0.15">
      <c r="B419" s="43"/>
    </row>
    <row r="420" spans="2:2" ht="13" x14ac:dyDescent="0.15">
      <c r="B420" s="43"/>
    </row>
    <row r="421" spans="2:2" ht="13" x14ac:dyDescent="0.15">
      <c r="B421" s="43"/>
    </row>
    <row r="422" spans="2:2" ht="13" x14ac:dyDescent="0.15">
      <c r="B422" s="43"/>
    </row>
    <row r="423" spans="2:2" ht="13" x14ac:dyDescent="0.15">
      <c r="B423" s="43"/>
    </row>
    <row r="424" spans="2:2" ht="13" x14ac:dyDescent="0.15">
      <c r="B424" s="43"/>
    </row>
    <row r="425" spans="2:2" ht="13" x14ac:dyDescent="0.15">
      <c r="B425" s="43"/>
    </row>
    <row r="426" spans="2:2" ht="13" x14ac:dyDescent="0.15">
      <c r="B426" s="43"/>
    </row>
    <row r="427" spans="2:2" ht="13" x14ac:dyDescent="0.15">
      <c r="B427" s="43"/>
    </row>
    <row r="428" spans="2:2" ht="13" x14ac:dyDescent="0.15">
      <c r="B428" s="43"/>
    </row>
    <row r="429" spans="2:2" ht="13" x14ac:dyDescent="0.15">
      <c r="B429" s="43"/>
    </row>
    <row r="430" spans="2:2" ht="13" x14ac:dyDescent="0.15">
      <c r="B430" s="43"/>
    </row>
    <row r="431" spans="2:2" ht="13" x14ac:dyDescent="0.15">
      <c r="B431" s="43"/>
    </row>
    <row r="432" spans="2:2" ht="13" x14ac:dyDescent="0.15">
      <c r="B432" s="43"/>
    </row>
    <row r="433" spans="2:2" ht="13" x14ac:dyDescent="0.15">
      <c r="B433" s="43"/>
    </row>
    <row r="434" spans="2:2" ht="13" x14ac:dyDescent="0.15">
      <c r="B434" s="43"/>
    </row>
    <row r="435" spans="2:2" ht="13" x14ac:dyDescent="0.15">
      <c r="B435" s="43"/>
    </row>
    <row r="436" spans="2:2" ht="13" x14ac:dyDescent="0.15">
      <c r="B436" s="43"/>
    </row>
    <row r="437" spans="2:2" ht="13" x14ac:dyDescent="0.15">
      <c r="B437" s="43"/>
    </row>
    <row r="438" spans="2:2" ht="13" x14ac:dyDescent="0.15">
      <c r="B438" s="43"/>
    </row>
    <row r="439" spans="2:2" ht="13" x14ac:dyDescent="0.15">
      <c r="B439" s="43"/>
    </row>
    <row r="440" spans="2:2" ht="13" x14ac:dyDescent="0.15">
      <c r="B440" s="43"/>
    </row>
    <row r="441" spans="2:2" ht="13" x14ac:dyDescent="0.15">
      <c r="B441" s="43"/>
    </row>
    <row r="442" spans="2:2" ht="13" x14ac:dyDescent="0.15">
      <c r="B442" s="43"/>
    </row>
    <row r="443" spans="2:2" ht="13" x14ac:dyDescent="0.15">
      <c r="B443" s="43"/>
    </row>
    <row r="444" spans="2:2" ht="13" x14ac:dyDescent="0.15">
      <c r="B444" s="43"/>
    </row>
    <row r="445" spans="2:2" ht="13" x14ac:dyDescent="0.15">
      <c r="B445" s="43"/>
    </row>
    <row r="446" spans="2:2" ht="13" x14ac:dyDescent="0.15">
      <c r="B446" s="43"/>
    </row>
    <row r="447" spans="2:2" ht="13" x14ac:dyDescent="0.15">
      <c r="B447" s="43"/>
    </row>
    <row r="448" spans="2:2" ht="13" x14ac:dyDescent="0.15">
      <c r="B448" s="43"/>
    </row>
    <row r="449" spans="2:2" ht="13" x14ac:dyDescent="0.15">
      <c r="B449" s="43"/>
    </row>
    <row r="450" spans="2:2" ht="13" x14ac:dyDescent="0.15">
      <c r="B450" s="43"/>
    </row>
    <row r="451" spans="2:2" ht="13" x14ac:dyDescent="0.15">
      <c r="B451" s="43"/>
    </row>
    <row r="452" spans="2:2" ht="13" x14ac:dyDescent="0.15">
      <c r="B452" s="43"/>
    </row>
    <row r="453" spans="2:2" ht="13" x14ac:dyDescent="0.15">
      <c r="B453" s="43"/>
    </row>
    <row r="454" spans="2:2" ht="13" x14ac:dyDescent="0.15">
      <c r="B454" s="43"/>
    </row>
    <row r="455" spans="2:2" ht="13" x14ac:dyDescent="0.15">
      <c r="B455" s="43"/>
    </row>
    <row r="456" spans="2:2" ht="13" x14ac:dyDescent="0.15">
      <c r="B456" s="43"/>
    </row>
    <row r="457" spans="2:2" ht="13" x14ac:dyDescent="0.15">
      <c r="B457" s="43"/>
    </row>
    <row r="458" spans="2:2" ht="13" x14ac:dyDescent="0.15">
      <c r="B458" s="43"/>
    </row>
    <row r="459" spans="2:2" ht="13" x14ac:dyDescent="0.15">
      <c r="B459" s="43"/>
    </row>
    <row r="460" spans="2:2" ht="13" x14ac:dyDescent="0.15">
      <c r="B460" s="43"/>
    </row>
    <row r="461" spans="2:2" ht="13" x14ac:dyDescent="0.15">
      <c r="B461" s="43"/>
    </row>
    <row r="462" spans="2:2" ht="13" x14ac:dyDescent="0.15">
      <c r="B462" s="43"/>
    </row>
    <row r="463" spans="2:2" ht="13" x14ac:dyDescent="0.15">
      <c r="B463" s="43"/>
    </row>
    <row r="464" spans="2:2" ht="13" x14ac:dyDescent="0.15">
      <c r="B464" s="43"/>
    </row>
    <row r="465" spans="2:2" ht="13" x14ac:dyDescent="0.15">
      <c r="B465" s="43"/>
    </row>
    <row r="466" spans="2:2" ht="13" x14ac:dyDescent="0.15">
      <c r="B466" s="43"/>
    </row>
    <row r="467" spans="2:2" ht="13" x14ac:dyDescent="0.15">
      <c r="B467" s="43"/>
    </row>
    <row r="468" spans="2:2" ht="13" x14ac:dyDescent="0.15">
      <c r="B468" s="43"/>
    </row>
    <row r="469" spans="2:2" ht="13" x14ac:dyDescent="0.15">
      <c r="B469" s="43"/>
    </row>
    <row r="470" spans="2:2" ht="13" x14ac:dyDescent="0.15">
      <c r="B470" s="43"/>
    </row>
    <row r="471" spans="2:2" ht="13" x14ac:dyDescent="0.15">
      <c r="B471" s="43"/>
    </row>
    <row r="472" spans="2:2" ht="13" x14ac:dyDescent="0.15">
      <c r="B472" s="43"/>
    </row>
    <row r="473" spans="2:2" ht="13" x14ac:dyDescent="0.15">
      <c r="B473" s="43"/>
    </row>
    <row r="474" spans="2:2" ht="13" x14ac:dyDescent="0.15">
      <c r="B474" s="43"/>
    </row>
    <row r="475" spans="2:2" ht="13" x14ac:dyDescent="0.15">
      <c r="B475" s="43"/>
    </row>
    <row r="476" spans="2:2" ht="13" x14ac:dyDescent="0.15">
      <c r="B476" s="43"/>
    </row>
    <row r="477" spans="2:2" ht="13" x14ac:dyDescent="0.15">
      <c r="B477" s="43"/>
    </row>
    <row r="478" spans="2:2" ht="13" x14ac:dyDescent="0.15">
      <c r="B478" s="43"/>
    </row>
    <row r="479" spans="2:2" ht="13" x14ac:dyDescent="0.15">
      <c r="B479" s="43"/>
    </row>
    <row r="480" spans="2:2" ht="13" x14ac:dyDescent="0.15">
      <c r="B480" s="43"/>
    </row>
    <row r="481" spans="2:2" ht="13" x14ac:dyDescent="0.15">
      <c r="B481" s="43"/>
    </row>
    <row r="482" spans="2:2" ht="13" x14ac:dyDescent="0.15">
      <c r="B482" s="43"/>
    </row>
    <row r="483" spans="2:2" ht="13" x14ac:dyDescent="0.15">
      <c r="B483" s="43"/>
    </row>
    <row r="484" spans="2:2" ht="13" x14ac:dyDescent="0.15">
      <c r="B484" s="43"/>
    </row>
    <row r="485" spans="2:2" ht="13" x14ac:dyDescent="0.15">
      <c r="B485" s="43"/>
    </row>
    <row r="486" spans="2:2" ht="13" x14ac:dyDescent="0.15">
      <c r="B486" s="43"/>
    </row>
    <row r="487" spans="2:2" ht="13" x14ac:dyDescent="0.15">
      <c r="B487" s="43"/>
    </row>
    <row r="488" spans="2:2" ht="13" x14ac:dyDescent="0.15">
      <c r="B488" s="43"/>
    </row>
    <row r="489" spans="2:2" ht="13" x14ac:dyDescent="0.15">
      <c r="B489" s="43"/>
    </row>
    <row r="490" spans="2:2" ht="13" x14ac:dyDescent="0.15">
      <c r="B490" s="43"/>
    </row>
    <row r="491" spans="2:2" ht="13" x14ac:dyDescent="0.15">
      <c r="B491" s="43"/>
    </row>
    <row r="492" spans="2:2" ht="13" x14ac:dyDescent="0.15">
      <c r="B492" s="43"/>
    </row>
    <row r="493" spans="2:2" ht="13" x14ac:dyDescent="0.15">
      <c r="B493" s="43"/>
    </row>
    <row r="494" spans="2:2" ht="13" x14ac:dyDescent="0.15">
      <c r="B494" s="43"/>
    </row>
    <row r="495" spans="2:2" ht="13" x14ac:dyDescent="0.15">
      <c r="B495" s="43"/>
    </row>
    <row r="496" spans="2:2" ht="13" x14ac:dyDescent="0.15">
      <c r="B496" s="43"/>
    </row>
    <row r="497" spans="2:2" ht="13" x14ac:dyDescent="0.15">
      <c r="B497" s="43"/>
    </row>
    <row r="498" spans="2:2" ht="13" x14ac:dyDescent="0.15">
      <c r="B498" s="43"/>
    </row>
    <row r="499" spans="2:2" ht="13" x14ac:dyDescent="0.15">
      <c r="B499" s="43"/>
    </row>
    <row r="500" spans="2:2" ht="13" x14ac:dyDescent="0.15">
      <c r="B500" s="43"/>
    </row>
    <row r="501" spans="2:2" ht="13" x14ac:dyDescent="0.15">
      <c r="B501" s="43"/>
    </row>
    <row r="502" spans="2:2" ht="13" x14ac:dyDescent="0.15">
      <c r="B502" s="43"/>
    </row>
    <row r="503" spans="2:2" ht="13" x14ac:dyDescent="0.15">
      <c r="B503" s="43"/>
    </row>
    <row r="504" spans="2:2" ht="13" x14ac:dyDescent="0.15">
      <c r="B504" s="43"/>
    </row>
    <row r="505" spans="2:2" ht="13" x14ac:dyDescent="0.15">
      <c r="B505" s="43"/>
    </row>
    <row r="506" spans="2:2" ht="13" x14ac:dyDescent="0.15">
      <c r="B506" s="43"/>
    </row>
    <row r="507" spans="2:2" ht="13" x14ac:dyDescent="0.15">
      <c r="B507" s="43"/>
    </row>
    <row r="508" spans="2:2" ht="13" x14ac:dyDescent="0.15">
      <c r="B508" s="43"/>
    </row>
    <row r="509" spans="2:2" ht="13" x14ac:dyDescent="0.15">
      <c r="B509" s="43"/>
    </row>
    <row r="510" spans="2:2" ht="13" x14ac:dyDescent="0.15">
      <c r="B510" s="43"/>
    </row>
    <row r="511" spans="2:2" ht="13" x14ac:dyDescent="0.15">
      <c r="B511" s="43"/>
    </row>
    <row r="512" spans="2:2" ht="13" x14ac:dyDescent="0.15">
      <c r="B512" s="43"/>
    </row>
    <row r="513" spans="2:2" ht="13" x14ac:dyDescent="0.15">
      <c r="B513" s="43"/>
    </row>
    <row r="514" spans="2:2" ht="13" x14ac:dyDescent="0.15">
      <c r="B514" s="43"/>
    </row>
    <row r="515" spans="2:2" ht="13" x14ac:dyDescent="0.15">
      <c r="B515" s="43"/>
    </row>
    <row r="516" spans="2:2" ht="13" x14ac:dyDescent="0.15">
      <c r="B516" s="43"/>
    </row>
    <row r="517" spans="2:2" ht="13" x14ac:dyDescent="0.15">
      <c r="B517" s="43"/>
    </row>
    <row r="518" spans="2:2" ht="13" x14ac:dyDescent="0.15">
      <c r="B518" s="43"/>
    </row>
    <row r="519" spans="2:2" ht="13" x14ac:dyDescent="0.15">
      <c r="B519" s="43"/>
    </row>
    <row r="520" spans="2:2" ht="13" x14ac:dyDescent="0.15">
      <c r="B520" s="43"/>
    </row>
    <row r="521" spans="2:2" ht="13" x14ac:dyDescent="0.15">
      <c r="B521" s="43"/>
    </row>
    <row r="522" spans="2:2" ht="13" x14ac:dyDescent="0.15">
      <c r="B522" s="43"/>
    </row>
    <row r="523" spans="2:2" ht="13" x14ac:dyDescent="0.15">
      <c r="B523" s="43"/>
    </row>
    <row r="524" spans="2:2" ht="13" x14ac:dyDescent="0.15">
      <c r="B524" s="43"/>
    </row>
    <row r="525" spans="2:2" ht="13" x14ac:dyDescent="0.15">
      <c r="B525" s="43"/>
    </row>
    <row r="526" spans="2:2" ht="13" x14ac:dyDescent="0.15">
      <c r="B526" s="43"/>
    </row>
    <row r="527" spans="2:2" ht="13" x14ac:dyDescent="0.15">
      <c r="B527" s="43"/>
    </row>
    <row r="528" spans="2:2" ht="13" x14ac:dyDescent="0.15">
      <c r="B528" s="43"/>
    </row>
    <row r="529" spans="2:2" ht="13" x14ac:dyDescent="0.15">
      <c r="B529" s="43"/>
    </row>
    <row r="530" spans="2:2" ht="13" x14ac:dyDescent="0.15">
      <c r="B530" s="43"/>
    </row>
    <row r="531" spans="2:2" ht="13" x14ac:dyDescent="0.15">
      <c r="B531" s="43"/>
    </row>
    <row r="532" spans="2:2" ht="13" x14ac:dyDescent="0.15">
      <c r="B532" s="43"/>
    </row>
    <row r="533" spans="2:2" ht="13" x14ac:dyDescent="0.15">
      <c r="B533" s="43"/>
    </row>
    <row r="534" spans="2:2" ht="13" x14ac:dyDescent="0.15">
      <c r="B534" s="43"/>
    </row>
    <row r="535" spans="2:2" ht="13" x14ac:dyDescent="0.15">
      <c r="B535" s="43"/>
    </row>
    <row r="536" spans="2:2" ht="13" x14ac:dyDescent="0.15">
      <c r="B536" s="43"/>
    </row>
    <row r="537" spans="2:2" ht="13" x14ac:dyDescent="0.15">
      <c r="B537" s="43"/>
    </row>
    <row r="538" spans="2:2" ht="13" x14ac:dyDescent="0.15">
      <c r="B538" s="43"/>
    </row>
    <row r="539" spans="2:2" ht="13" x14ac:dyDescent="0.15">
      <c r="B539" s="43"/>
    </row>
    <row r="540" spans="2:2" ht="13" x14ac:dyDescent="0.15">
      <c r="B540" s="43"/>
    </row>
    <row r="541" spans="2:2" ht="13" x14ac:dyDescent="0.15">
      <c r="B541" s="43"/>
    </row>
    <row r="542" spans="2:2" ht="13" x14ac:dyDescent="0.15">
      <c r="B542" s="43"/>
    </row>
    <row r="543" spans="2:2" ht="13" x14ac:dyDescent="0.15">
      <c r="B543" s="43"/>
    </row>
    <row r="544" spans="2:2" ht="13" x14ac:dyDescent="0.15">
      <c r="B544" s="43"/>
    </row>
    <row r="545" spans="2:2" ht="13" x14ac:dyDescent="0.15">
      <c r="B545" s="43"/>
    </row>
    <row r="546" spans="2:2" ht="13" x14ac:dyDescent="0.15">
      <c r="B546" s="43"/>
    </row>
    <row r="547" spans="2:2" ht="13" x14ac:dyDescent="0.15">
      <c r="B547" s="43"/>
    </row>
    <row r="548" spans="2:2" ht="13" x14ac:dyDescent="0.15">
      <c r="B548" s="43"/>
    </row>
    <row r="549" spans="2:2" ht="13" x14ac:dyDescent="0.15">
      <c r="B549" s="43"/>
    </row>
    <row r="550" spans="2:2" ht="13" x14ac:dyDescent="0.15">
      <c r="B550" s="43"/>
    </row>
    <row r="551" spans="2:2" ht="13" x14ac:dyDescent="0.15">
      <c r="B551" s="43"/>
    </row>
    <row r="552" spans="2:2" ht="13" x14ac:dyDescent="0.15">
      <c r="B552" s="43"/>
    </row>
    <row r="553" spans="2:2" ht="13" x14ac:dyDescent="0.15">
      <c r="B553" s="43"/>
    </row>
    <row r="554" spans="2:2" ht="13" x14ac:dyDescent="0.15">
      <c r="B554" s="43"/>
    </row>
    <row r="555" spans="2:2" ht="13" x14ac:dyDescent="0.15">
      <c r="B555" s="43"/>
    </row>
    <row r="556" spans="2:2" ht="13" x14ac:dyDescent="0.15">
      <c r="B556" s="43"/>
    </row>
    <row r="557" spans="2:2" ht="13" x14ac:dyDescent="0.15">
      <c r="B557" s="43"/>
    </row>
    <row r="558" spans="2:2" ht="13" x14ac:dyDescent="0.15">
      <c r="B558" s="43"/>
    </row>
    <row r="559" spans="2:2" ht="13" x14ac:dyDescent="0.15">
      <c r="B559" s="43"/>
    </row>
    <row r="560" spans="2:2" ht="13" x14ac:dyDescent="0.15">
      <c r="B560" s="43"/>
    </row>
    <row r="561" spans="2:2" ht="13" x14ac:dyDescent="0.15">
      <c r="B561" s="43"/>
    </row>
    <row r="562" spans="2:2" ht="13" x14ac:dyDescent="0.15">
      <c r="B562" s="43"/>
    </row>
    <row r="563" spans="2:2" ht="13" x14ac:dyDescent="0.15">
      <c r="B563" s="43"/>
    </row>
    <row r="564" spans="2:2" ht="13" x14ac:dyDescent="0.15">
      <c r="B564" s="43"/>
    </row>
    <row r="565" spans="2:2" ht="13" x14ac:dyDescent="0.15">
      <c r="B565" s="43"/>
    </row>
    <row r="566" spans="2:2" ht="13" x14ac:dyDescent="0.15">
      <c r="B566" s="43"/>
    </row>
    <row r="567" spans="2:2" ht="13" x14ac:dyDescent="0.15">
      <c r="B567" s="43"/>
    </row>
    <row r="568" spans="2:2" ht="13" x14ac:dyDescent="0.15">
      <c r="B568" s="43"/>
    </row>
    <row r="569" spans="2:2" ht="13" x14ac:dyDescent="0.15">
      <c r="B569" s="43"/>
    </row>
    <row r="570" spans="2:2" ht="13" x14ac:dyDescent="0.15">
      <c r="B570" s="43"/>
    </row>
    <row r="571" spans="2:2" ht="13" x14ac:dyDescent="0.15">
      <c r="B571" s="43"/>
    </row>
    <row r="572" spans="2:2" ht="13" x14ac:dyDescent="0.15">
      <c r="B572" s="43"/>
    </row>
    <row r="573" spans="2:2" ht="13" x14ac:dyDescent="0.15">
      <c r="B573" s="43"/>
    </row>
    <row r="574" spans="2:2" ht="13" x14ac:dyDescent="0.15">
      <c r="B574" s="43"/>
    </row>
    <row r="575" spans="2:2" ht="13" x14ac:dyDescent="0.15">
      <c r="B575" s="43"/>
    </row>
    <row r="576" spans="2:2" ht="13" x14ac:dyDescent="0.15">
      <c r="B576" s="43"/>
    </row>
    <row r="577" spans="2:2" ht="13" x14ac:dyDescent="0.15">
      <c r="B577" s="43"/>
    </row>
    <row r="578" spans="2:2" ht="13" x14ac:dyDescent="0.15">
      <c r="B578" s="43"/>
    </row>
    <row r="579" spans="2:2" ht="13" x14ac:dyDescent="0.15">
      <c r="B579" s="43"/>
    </row>
    <row r="580" spans="2:2" ht="13" x14ac:dyDescent="0.15">
      <c r="B580" s="43"/>
    </row>
    <row r="581" spans="2:2" ht="13" x14ac:dyDescent="0.15">
      <c r="B581" s="43"/>
    </row>
    <row r="582" spans="2:2" ht="13" x14ac:dyDescent="0.15">
      <c r="B582" s="43"/>
    </row>
    <row r="583" spans="2:2" ht="13" x14ac:dyDescent="0.15">
      <c r="B583" s="43"/>
    </row>
    <row r="584" spans="2:2" ht="13" x14ac:dyDescent="0.15">
      <c r="B584" s="43"/>
    </row>
    <row r="585" spans="2:2" ht="13" x14ac:dyDescent="0.15">
      <c r="B585" s="43"/>
    </row>
    <row r="586" spans="2:2" ht="13" x14ac:dyDescent="0.15">
      <c r="B586" s="43"/>
    </row>
    <row r="587" spans="2:2" ht="13" x14ac:dyDescent="0.15">
      <c r="B587" s="43"/>
    </row>
    <row r="588" spans="2:2" ht="13" x14ac:dyDescent="0.15">
      <c r="B588" s="43"/>
    </row>
    <row r="589" spans="2:2" ht="13" x14ac:dyDescent="0.15">
      <c r="B589" s="43"/>
    </row>
    <row r="590" spans="2:2" ht="13" x14ac:dyDescent="0.15">
      <c r="B590" s="43"/>
    </row>
    <row r="591" spans="2:2" ht="13" x14ac:dyDescent="0.15">
      <c r="B591" s="43"/>
    </row>
    <row r="592" spans="2:2" ht="13" x14ac:dyDescent="0.15">
      <c r="B592" s="43"/>
    </row>
    <row r="593" spans="2:2" ht="13" x14ac:dyDescent="0.15">
      <c r="B593" s="43"/>
    </row>
    <row r="594" spans="2:2" ht="13" x14ac:dyDescent="0.15">
      <c r="B594" s="43"/>
    </row>
    <row r="595" spans="2:2" ht="13" x14ac:dyDescent="0.15">
      <c r="B595" s="43"/>
    </row>
    <row r="596" spans="2:2" ht="13" x14ac:dyDescent="0.15">
      <c r="B596" s="43"/>
    </row>
    <row r="597" spans="2:2" ht="13" x14ac:dyDescent="0.15">
      <c r="B597" s="43"/>
    </row>
    <row r="598" spans="2:2" ht="13" x14ac:dyDescent="0.15">
      <c r="B598" s="43"/>
    </row>
    <row r="599" spans="2:2" ht="13" x14ac:dyDescent="0.15">
      <c r="B599" s="43"/>
    </row>
    <row r="600" spans="2:2" ht="13" x14ac:dyDescent="0.15">
      <c r="B600" s="43"/>
    </row>
    <row r="601" spans="2:2" ht="13" x14ac:dyDescent="0.15">
      <c r="B601" s="43"/>
    </row>
    <row r="602" spans="2:2" ht="13" x14ac:dyDescent="0.15">
      <c r="B602" s="43"/>
    </row>
    <row r="603" spans="2:2" ht="13" x14ac:dyDescent="0.15">
      <c r="B603" s="43"/>
    </row>
    <row r="604" spans="2:2" ht="13" x14ac:dyDescent="0.15">
      <c r="B604" s="43"/>
    </row>
    <row r="605" spans="2:2" ht="13" x14ac:dyDescent="0.15">
      <c r="B605" s="43"/>
    </row>
    <row r="606" spans="2:2" ht="13" x14ac:dyDescent="0.15">
      <c r="B606" s="43"/>
    </row>
    <row r="607" spans="2:2" ht="13" x14ac:dyDescent="0.15">
      <c r="B607" s="43"/>
    </row>
    <row r="608" spans="2:2" ht="13" x14ac:dyDescent="0.15">
      <c r="B608" s="43"/>
    </row>
    <row r="609" spans="2:2" ht="13" x14ac:dyDescent="0.15">
      <c r="B609" s="43"/>
    </row>
    <row r="610" spans="2:2" ht="13" x14ac:dyDescent="0.15">
      <c r="B610" s="43"/>
    </row>
    <row r="611" spans="2:2" ht="13" x14ac:dyDescent="0.15">
      <c r="B611" s="43"/>
    </row>
    <row r="612" spans="2:2" ht="13" x14ac:dyDescent="0.15">
      <c r="B612" s="43"/>
    </row>
    <row r="613" spans="2:2" ht="13" x14ac:dyDescent="0.15">
      <c r="B613" s="43"/>
    </row>
    <row r="614" spans="2:2" ht="13" x14ac:dyDescent="0.15">
      <c r="B614" s="43"/>
    </row>
    <row r="615" spans="2:2" ht="13" x14ac:dyDescent="0.15">
      <c r="B615" s="43"/>
    </row>
    <row r="616" spans="2:2" ht="13" x14ac:dyDescent="0.15">
      <c r="B616" s="43"/>
    </row>
    <row r="617" spans="2:2" ht="13" x14ac:dyDescent="0.15">
      <c r="B617" s="43"/>
    </row>
    <row r="618" spans="2:2" ht="13" x14ac:dyDescent="0.15">
      <c r="B618" s="43"/>
    </row>
    <row r="619" spans="2:2" ht="13" x14ac:dyDescent="0.15">
      <c r="B619" s="43"/>
    </row>
    <row r="620" spans="2:2" ht="13" x14ac:dyDescent="0.15">
      <c r="B620" s="43"/>
    </row>
    <row r="621" spans="2:2" ht="13" x14ac:dyDescent="0.15">
      <c r="B621" s="43"/>
    </row>
    <row r="622" spans="2:2" ht="13" x14ac:dyDescent="0.15">
      <c r="B622" s="43"/>
    </row>
    <row r="623" spans="2:2" ht="13" x14ac:dyDescent="0.15">
      <c r="B623" s="43"/>
    </row>
    <row r="624" spans="2:2" ht="13" x14ac:dyDescent="0.15">
      <c r="B624" s="43"/>
    </row>
    <row r="625" spans="2:2" ht="13" x14ac:dyDescent="0.15">
      <c r="B625" s="43"/>
    </row>
    <row r="626" spans="2:2" ht="13" x14ac:dyDescent="0.15">
      <c r="B626" s="43"/>
    </row>
    <row r="627" spans="2:2" ht="13" x14ac:dyDescent="0.15">
      <c r="B627" s="43"/>
    </row>
    <row r="628" spans="2:2" ht="13" x14ac:dyDescent="0.15">
      <c r="B628" s="43"/>
    </row>
    <row r="629" spans="2:2" ht="13" x14ac:dyDescent="0.15">
      <c r="B629" s="43"/>
    </row>
    <row r="630" spans="2:2" ht="13" x14ac:dyDescent="0.15">
      <c r="B630" s="43"/>
    </row>
    <row r="631" spans="2:2" ht="13" x14ac:dyDescent="0.15">
      <c r="B631" s="43"/>
    </row>
    <row r="632" spans="2:2" ht="13" x14ac:dyDescent="0.15">
      <c r="B632" s="43"/>
    </row>
    <row r="633" spans="2:2" ht="13" x14ac:dyDescent="0.15">
      <c r="B633" s="43"/>
    </row>
    <row r="634" spans="2:2" ht="13" x14ac:dyDescent="0.15">
      <c r="B634" s="43"/>
    </row>
    <row r="635" spans="2:2" ht="13" x14ac:dyDescent="0.15">
      <c r="B635" s="43"/>
    </row>
    <row r="636" spans="2:2" ht="13" x14ac:dyDescent="0.15">
      <c r="B636" s="43"/>
    </row>
    <row r="637" spans="2:2" ht="13" x14ac:dyDescent="0.15">
      <c r="B637" s="43"/>
    </row>
    <row r="638" spans="2:2" ht="13" x14ac:dyDescent="0.15">
      <c r="B638" s="43"/>
    </row>
    <row r="639" spans="2:2" ht="13" x14ac:dyDescent="0.15">
      <c r="B639" s="43"/>
    </row>
    <row r="640" spans="2:2" ht="13" x14ac:dyDescent="0.15">
      <c r="B640" s="43"/>
    </row>
    <row r="641" spans="2:2" ht="13" x14ac:dyDescent="0.15">
      <c r="B641" s="43"/>
    </row>
    <row r="642" spans="2:2" ht="13" x14ac:dyDescent="0.15">
      <c r="B642" s="43"/>
    </row>
    <row r="643" spans="2:2" ht="13" x14ac:dyDescent="0.15">
      <c r="B643" s="43"/>
    </row>
    <row r="644" spans="2:2" ht="13" x14ac:dyDescent="0.15">
      <c r="B644" s="43"/>
    </row>
    <row r="645" spans="2:2" ht="13" x14ac:dyDescent="0.15">
      <c r="B645" s="43"/>
    </row>
    <row r="646" spans="2:2" ht="13" x14ac:dyDescent="0.15">
      <c r="B646" s="43"/>
    </row>
    <row r="647" spans="2:2" ht="13" x14ac:dyDescent="0.15">
      <c r="B647" s="43"/>
    </row>
    <row r="648" spans="2:2" ht="13" x14ac:dyDescent="0.15">
      <c r="B648" s="43"/>
    </row>
    <row r="649" spans="2:2" ht="13" x14ac:dyDescent="0.15">
      <c r="B649" s="43"/>
    </row>
    <row r="650" spans="2:2" ht="13" x14ac:dyDescent="0.15">
      <c r="B650" s="43"/>
    </row>
    <row r="651" spans="2:2" ht="13" x14ac:dyDescent="0.15">
      <c r="B651" s="43"/>
    </row>
    <row r="652" spans="2:2" ht="13" x14ac:dyDescent="0.15">
      <c r="B652" s="43"/>
    </row>
    <row r="653" spans="2:2" ht="13" x14ac:dyDescent="0.15">
      <c r="B653" s="43"/>
    </row>
    <row r="654" spans="2:2" ht="13" x14ac:dyDescent="0.15">
      <c r="B654" s="43"/>
    </row>
    <row r="655" spans="2:2" ht="13" x14ac:dyDescent="0.15">
      <c r="B655" s="43"/>
    </row>
    <row r="656" spans="2:2" ht="13" x14ac:dyDescent="0.15">
      <c r="B656" s="43"/>
    </row>
    <row r="657" spans="2:2" ht="13" x14ac:dyDescent="0.15">
      <c r="B657" s="43"/>
    </row>
    <row r="658" spans="2:2" ht="13" x14ac:dyDescent="0.15">
      <c r="B658" s="43"/>
    </row>
    <row r="659" spans="2:2" ht="13" x14ac:dyDescent="0.15">
      <c r="B659" s="43"/>
    </row>
    <row r="660" spans="2:2" ht="13" x14ac:dyDescent="0.15">
      <c r="B660" s="43"/>
    </row>
    <row r="661" spans="2:2" ht="13" x14ac:dyDescent="0.15">
      <c r="B661" s="43"/>
    </row>
    <row r="662" spans="2:2" ht="13" x14ac:dyDescent="0.15">
      <c r="B662" s="43"/>
    </row>
    <row r="663" spans="2:2" ht="13" x14ac:dyDescent="0.15">
      <c r="B663" s="43"/>
    </row>
    <row r="664" spans="2:2" ht="13" x14ac:dyDescent="0.15">
      <c r="B664" s="43"/>
    </row>
    <row r="665" spans="2:2" ht="13" x14ac:dyDescent="0.15">
      <c r="B665" s="43"/>
    </row>
    <row r="666" spans="2:2" ht="13" x14ac:dyDescent="0.15">
      <c r="B666" s="43"/>
    </row>
    <row r="667" spans="2:2" ht="13" x14ac:dyDescent="0.15">
      <c r="B667" s="43"/>
    </row>
    <row r="668" spans="2:2" ht="13" x14ac:dyDescent="0.15">
      <c r="B668" s="43"/>
    </row>
    <row r="669" spans="2:2" ht="13" x14ac:dyDescent="0.15">
      <c r="B669" s="43"/>
    </row>
    <row r="670" spans="2:2" ht="13" x14ac:dyDescent="0.15">
      <c r="B670" s="43"/>
    </row>
    <row r="671" spans="2:2" ht="13" x14ac:dyDescent="0.15">
      <c r="B671" s="43"/>
    </row>
    <row r="672" spans="2:2" ht="13" x14ac:dyDescent="0.15">
      <c r="B672" s="43"/>
    </row>
    <row r="673" spans="2:2" ht="13" x14ac:dyDescent="0.15">
      <c r="B673" s="43"/>
    </row>
    <row r="674" spans="2:2" ht="13" x14ac:dyDescent="0.15">
      <c r="B674" s="43"/>
    </row>
    <row r="675" spans="2:2" ht="13" x14ac:dyDescent="0.15">
      <c r="B675" s="43"/>
    </row>
    <row r="676" spans="2:2" ht="13" x14ac:dyDescent="0.15">
      <c r="B676" s="43"/>
    </row>
    <row r="677" spans="2:2" ht="13" x14ac:dyDescent="0.15">
      <c r="B677" s="43"/>
    </row>
    <row r="678" spans="2:2" ht="13" x14ac:dyDescent="0.15">
      <c r="B678" s="43"/>
    </row>
    <row r="679" spans="2:2" ht="13" x14ac:dyDescent="0.15">
      <c r="B679" s="43"/>
    </row>
    <row r="680" spans="2:2" ht="13" x14ac:dyDescent="0.15">
      <c r="B680" s="43"/>
    </row>
    <row r="681" spans="2:2" ht="13" x14ac:dyDescent="0.15">
      <c r="B681" s="43"/>
    </row>
    <row r="682" spans="2:2" ht="13" x14ac:dyDescent="0.15">
      <c r="B682" s="43"/>
    </row>
    <row r="683" spans="2:2" ht="13" x14ac:dyDescent="0.15">
      <c r="B683" s="43"/>
    </row>
    <row r="684" spans="2:2" ht="13" x14ac:dyDescent="0.15">
      <c r="B684" s="43"/>
    </row>
    <row r="685" spans="2:2" ht="13" x14ac:dyDescent="0.15">
      <c r="B685" s="43"/>
    </row>
    <row r="686" spans="2:2" ht="13" x14ac:dyDescent="0.15">
      <c r="B686" s="43"/>
    </row>
    <row r="687" spans="2:2" ht="13" x14ac:dyDescent="0.15">
      <c r="B687" s="43"/>
    </row>
    <row r="688" spans="2:2" ht="13" x14ac:dyDescent="0.15">
      <c r="B688" s="43"/>
    </row>
    <row r="689" spans="2:2" ht="13" x14ac:dyDescent="0.15">
      <c r="B689" s="43"/>
    </row>
    <row r="690" spans="2:2" ht="13" x14ac:dyDescent="0.15">
      <c r="B690" s="43"/>
    </row>
    <row r="691" spans="2:2" ht="13" x14ac:dyDescent="0.15">
      <c r="B691" s="43"/>
    </row>
    <row r="692" spans="2:2" ht="13" x14ac:dyDescent="0.15">
      <c r="B692" s="43"/>
    </row>
    <row r="693" spans="2:2" ht="13" x14ac:dyDescent="0.15">
      <c r="B693" s="43"/>
    </row>
    <row r="694" spans="2:2" ht="13" x14ac:dyDescent="0.15">
      <c r="B694" s="43"/>
    </row>
    <row r="695" spans="2:2" ht="13" x14ac:dyDescent="0.15">
      <c r="B695" s="43"/>
    </row>
    <row r="696" spans="2:2" ht="13" x14ac:dyDescent="0.15">
      <c r="B696" s="43"/>
    </row>
    <row r="697" spans="2:2" ht="13" x14ac:dyDescent="0.15">
      <c r="B697" s="43"/>
    </row>
    <row r="698" spans="2:2" ht="13" x14ac:dyDescent="0.15">
      <c r="B698" s="43"/>
    </row>
    <row r="699" spans="2:2" ht="13" x14ac:dyDescent="0.15">
      <c r="B699" s="43"/>
    </row>
    <row r="700" spans="2:2" ht="13" x14ac:dyDescent="0.15">
      <c r="B700" s="43"/>
    </row>
    <row r="701" spans="2:2" ht="13" x14ac:dyDescent="0.15">
      <c r="B701" s="43"/>
    </row>
    <row r="702" spans="2:2" ht="13" x14ac:dyDescent="0.15">
      <c r="B702" s="43"/>
    </row>
    <row r="703" spans="2:2" ht="13" x14ac:dyDescent="0.15">
      <c r="B703" s="43"/>
    </row>
    <row r="704" spans="2:2" ht="13" x14ac:dyDescent="0.15">
      <c r="B704" s="43"/>
    </row>
    <row r="705" spans="2:2" ht="13" x14ac:dyDescent="0.15">
      <c r="B705" s="43"/>
    </row>
    <row r="706" spans="2:2" ht="13" x14ac:dyDescent="0.15">
      <c r="B706" s="43"/>
    </row>
    <row r="707" spans="2:2" ht="13" x14ac:dyDescent="0.15">
      <c r="B707" s="43"/>
    </row>
    <row r="708" spans="2:2" ht="13" x14ac:dyDescent="0.15">
      <c r="B708" s="43"/>
    </row>
    <row r="709" spans="2:2" ht="13" x14ac:dyDescent="0.15">
      <c r="B709" s="43"/>
    </row>
    <row r="710" spans="2:2" ht="13" x14ac:dyDescent="0.15">
      <c r="B710" s="43"/>
    </row>
    <row r="711" spans="2:2" ht="13" x14ac:dyDescent="0.15">
      <c r="B711" s="43"/>
    </row>
    <row r="712" spans="2:2" ht="13" x14ac:dyDescent="0.15">
      <c r="B712" s="43"/>
    </row>
    <row r="713" spans="2:2" ht="13" x14ac:dyDescent="0.15">
      <c r="B713" s="43"/>
    </row>
    <row r="714" spans="2:2" ht="13" x14ac:dyDescent="0.15">
      <c r="B714" s="43"/>
    </row>
    <row r="715" spans="2:2" ht="13" x14ac:dyDescent="0.15">
      <c r="B715" s="43"/>
    </row>
    <row r="716" spans="2:2" ht="13" x14ac:dyDescent="0.15">
      <c r="B716" s="43"/>
    </row>
    <row r="717" spans="2:2" ht="13" x14ac:dyDescent="0.15">
      <c r="B717" s="43"/>
    </row>
    <row r="718" spans="2:2" ht="13" x14ac:dyDescent="0.15">
      <c r="B718" s="43"/>
    </row>
    <row r="719" spans="2:2" ht="13" x14ac:dyDescent="0.15">
      <c r="B719" s="43"/>
    </row>
    <row r="720" spans="2:2" ht="13" x14ac:dyDescent="0.15">
      <c r="B720" s="43"/>
    </row>
    <row r="721" spans="2:2" ht="13" x14ac:dyDescent="0.15">
      <c r="B721" s="43"/>
    </row>
    <row r="722" spans="2:2" ht="13" x14ac:dyDescent="0.15">
      <c r="B722" s="43"/>
    </row>
    <row r="723" spans="2:2" ht="13" x14ac:dyDescent="0.15">
      <c r="B723" s="43"/>
    </row>
    <row r="724" spans="2:2" ht="13" x14ac:dyDescent="0.15">
      <c r="B724" s="43"/>
    </row>
    <row r="725" spans="2:2" ht="13" x14ac:dyDescent="0.15">
      <c r="B725" s="43"/>
    </row>
    <row r="726" spans="2:2" ht="13" x14ac:dyDescent="0.15">
      <c r="B726" s="43"/>
    </row>
    <row r="727" spans="2:2" ht="13" x14ac:dyDescent="0.15">
      <c r="B727" s="43"/>
    </row>
    <row r="728" spans="2:2" ht="13" x14ac:dyDescent="0.15">
      <c r="B728" s="43"/>
    </row>
    <row r="729" spans="2:2" ht="13" x14ac:dyDescent="0.15">
      <c r="B729" s="43"/>
    </row>
    <row r="730" spans="2:2" ht="13" x14ac:dyDescent="0.15">
      <c r="B730" s="43"/>
    </row>
    <row r="731" spans="2:2" ht="13" x14ac:dyDescent="0.15">
      <c r="B731" s="43"/>
    </row>
    <row r="732" spans="2:2" ht="13" x14ac:dyDescent="0.15">
      <c r="B732" s="43"/>
    </row>
    <row r="733" spans="2:2" ht="13" x14ac:dyDescent="0.15">
      <c r="B733" s="43"/>
    </row>
    <row r="734" spans="2:2" ht="13" x14ac:dyDescent="0.15">
      <c r="B734" s="43"/>
    </row>
    <row r="735" spans="2:2" ht="13" x14ac:dyDescent="0.15">
      <c r="B735" s="43"/>
    </row>
    <row r="736" spans="2:2" ht="13" x14ac:dyDescent="0.15">
      <c r="B736" s="43"/>
    </row>
    <row r="737" spans="2:2" ht="13" x14ac:dyDescent="0.15">
      <c r="B737" s="43"/>
    </row>
    <row r="738" spans="2:2" ht="13" x14ac:dyDescent="0.15">
      <c r="B738" s="43"/>
    </row>
    <row r="739" spans="2:2" ht="13" x14ac:dyDescent="0.15">
      <c r="B739" s="43"/>
    </row>
    <row r="740" spans="2:2" ht="13" x14ac:dyDescent="0.15">
      <c r="B740" s="43"/>
    </row>
    <row r="741" spans="2:2" ht="13" x14ac:dyDescent="0.15">
      <c r="B741" s="43"/>
    </row>
    <row r="742" spans="2:2" ht="13" x14ac:dyDescent="0.15">
      <c r="B742" s="43"/>
    </row>
    <row r="743" spans="2:2" ht="13" x14ac:dyDescent="0.15">
      <c r="B743" s="43"/>
    </row>
    <row r="744" spans="2:2" ht="13" x14ac:dyDescent="0.15">
      <c r="B744" s="43"/>
    </row>
    <row r="745" spans="2:2" ht="13" x14ac:dyDescent="0.15">
      <c r="B745" s="43"/>
    </row>
    <row r="746" spans="2:2" ht="13" x14ac:dyDescent="0.15">
      <c r="B746" s="43"/>
    </row>
    <row r="747" spans="2:2" ht="13" x14ac:dyDescent="0.15">
      <c r="B747" s="43"/>
    </row>
    <row r="748" spans="2:2" ht="13" x14ac:dyDescent="0.15">
      <c r="B748" s="43"/>
    </row>
    <row r="749" spans="2:2" ht="13" x14ac:dyDescent="0.15">
      <c r="B749" s="43"/>
    </row>
    <row r="750" spans="2:2" ht="13" x14ac:dyDescent="0.15">
      <c r="B750" s="43"/>
    </row>
    <row r="751" spans="2:2" ht="13" x14ac:dyDescent="0.15">
      <c r="B751" s="43"/>
    </row>
    <row r="752" spans="2:2" ht="13" x14ac:dyDescent="0.15">
      <c r="B752" s="43"/>
    </row>
    <row r="753" spans="2:2" ht="13" x14ac:dyDescent="0.15">
      <c r="B753" s="43"/>
    </row>
    <row r="754" spans="2:2" ht="13" x14ac:dyDescent="0.15">
      <c r="B754" s="43"/>
    </row>
    <row r="755" spans="2:2" ht="13" x14ac:dyDescent="0.15">
      <c r="B755" s="43"/>
    </row>
    <row r="756" spans="2:2" ht="13" x14ac:dyDescent="0.15">
      <c r="B756" s="43"/>
    </row>
    <row r="757" spans="2:2" ht="13" x14ac:dyDescent="0.15">
      <c r="B757" s="43"/>
    </row>
    <row r="758" spans="2:2" ht="13" x14ac:dyDescent="0.15">
      <c r="B758" s="43"/>
    </row>
    <row r="759" spans="2:2" ht="13" x14ac:dyDescent="0.15">
      <c r="B759" s="43"/>
    </row>
    <row r="760" spans="2:2" ht="13" x14ac:dyDescent="0.15">
      <c r="B760" s="43"/>
    </row>
    <row r="761" spans="2:2" ht="13" x14ac:dyDescent="0.15">
      <c r="B761" s="43"/>
    </row>
    <row r="762" spans="2:2" ht="13" x14ac:dyDescent="0.15">
      <c r="B762" s="43"/>
    </row>
    <row r="763" spans="2:2" ht="13" x14ac:dyDescent="0.15">
      <c r="B763" s="43"/>
    </row>
    <row r="764" spans="2:2" ht="13" x14ac:dyDescent="0.15">
      <c r="B764" s="43"/>
    </row>
    <row r="765" spans="2:2" ht="13" x14ac:dyDescent="0.15">
      <c r="B765" s="43"/>
    </row>
    <row r="766" spans="2:2" ht="13" x14ac:dyDescent="0.15">
      <c r="B766" s="43"/>
    </row>
    <row r="767" spans="2:2" ht="13" x14ac:dyDescent="0.15">
      <c r="B767" s="43"/>
    </row>
    <row r="768" spans="2:2" ht="13" x14ac:dyDescent="0.15">
      <c r="B768" s="43"/>
    </row>
    <row r="769" spans="2:2" ht="13" x14ac:dyDescent="0.15">
      <c r="B769" s="43"/>
    </row>
    <row r="770" spans="2:2" ht="13" x14ac:dyDescent="0.15">
      <c r="B770" s="43"/>
    </row>
    <row r="771" spans="2:2" ht="13" x14ac:dyDescent="0.15">
      <c r="B771" s="43"/>
    </row>
    <row r="772" spans="2:2" ht="13" x14ac:dyDescent="0.15">
      <c r="B772" s="43"/>
    </row>
    <row r="773" spans="2:2" ht="13" x14ac:dyDescent="0.15">
      <c r="B773" s="43"/>
    </row>
    <row r="774" spans="2:2" ht="13" x14ac:dyDescent="0.15">
      <c r="B774" s="43"/>
    </row>
    <row r="775" spans="2:2" ht="13" x14ac:dyDescent="0.15">
      <c r="B775" s="43"/>
    </row>
    <row r="776" spans="2:2" ht="13" x14ac:dyDescent="0.15">
      <c r="B776" s="43"/>
    </row>
    <row r="777" spans="2:2" ht="13" x14ac:dyDescent="0.15">
      <c r="B777" s="43"/>
    </row>
    <row r="778" spans="2:2" ht="13" x14ac:dyDescent="0.15">
      <c r="B778" s="43"/>
    </row>
    <row r="779" spans="2:2" ht="13" x14ac:dyDescent="0.15">
      <c r="B779" s="43"/>
    </row>
    <row r="780" spans="2:2" ht="13" x14ac:dyDescent="0.15">
      <c r="B780" s="43"/>
    </row>
    <row r="781" spans="2:2" ht="13" x14ac:dyDescent="0.15">
      <c r="B781" s="43"/>
    </row>
    <row r="782" spans="2:2" ht="13" x14ac:dyDescent="0.15">
      <c r="B782" s="43"/>
    </row>
    <row r="783" spans="2:2" ht="13" x14ac:dyDescent="0.15">
      <c r="B783" s="43"/>
    </row>
    <row r="784" spans="2:2" ht="13" x14ac:dyDescent="0.15">
      <c r="B784" s="43"/>
    </row>
    <row r="785" spans="2:2" ht="13" x14ac:dyDescent="0.15">
      <c r="B785" s="43"/>
    </row>
    <row r="786" spans="2:2" ht="13" x14ac:dyDescent="0.15">
      <c r="B786" s="43"/>
    </row>
    <row r="787" spans="2:2" ht="13" x14ac:dyDescent="0.15">
      <c r="B787" s="43"/>
    </row>
    <row r="788" spans="2:2" ht="13" x14ac:dyDescent="0.15">
      <c r="B788" s="43"/>
    </row>
    <row r="789" spans="2:2" ht="13" x14ac:dyDescent="0.15">
      <c r="B789" s="43"/>
    </row>
    <row r="790" spans="2:2" ht="13" x14ac:dyDescent="0.15">
      <c r="B790" s="43"/>
    </row>
    <row r="791" spans="2:2" ht="13" x14ac:dyDescent="0.15">
      <c r="B791" s="43"/>
    </row>
    <row r="792" spans="2:2" ht="13" x14ac:dyDescent="0.15">
      <c r="B792" s="43"/>
    </row>
    <row r="793" spans="2:2" ht="13" x14ac:dyDescent="0.15">
      <c r="B793" s="43"/>
    </row>
    <row r="794" spans="2:2" ht="13" x14ac:dyDescent="0.15">
      <c r="B794" s="43"/>
    </row>
    <row r="795" spans="2:2" ht="13" x14ac:dyDescent="0.15">
      <c r="B795" s="43"/>
    </row>
    <row r="796" spans="2:2" ht="13" x14ac:dyDescent="0.15">
      <c r="B796" s="43"/>
    </row>
    <row r="797" spans="2:2" ht="13" x14ac:dyDescent="0.15">
      <c r="B797" s="43"/>
    </row>
    <row r="798" spans="2:2" ht="13" x14ac:dyDescent="0.15">
      <c r="B798" s="43"/>
    </row>
    <row r="799" spans="2:2" ht="13" x14ac:dyDescent="0.15">
      <c r="B799" s="43"/>
    </row>
    <row r="800" spans="2:2" ht="13" x14ac:dyDescent="0.15">
      <c r="B800" s="43"/>
    </row>
    <row r="801" spans="2:2" ht="13" x14ac:dyDescent="0.15">
      <c r="B801" s="43"/>
    </row>
    <row r="802" spans="2:2" ht="13" x14ac:dyDescent="0.15">
      <c r="B802" s="43"/>
    </row>
    <row r="803" spans="2:2" ht="13" x14ac:dyDescent="0.15">
      <c r="B803" s="43"/>
    </row>
    <row r="804" spans="2:2" ht="13" x14ac:dyDescent="0.15">
      <c r="B804" s="43"/>
    </row>
    <row r="805" spans="2:2" ht="13" x14ac:dyDescent="0.15">
      <c r="B805" s="43"/>
    </row>
    <row r="806" spans="2:2" ht="13" x14ac:dyDescent="0.15">
      <c r="B806" s="43"/>
    </row>
    <row r="807" spans="2:2" ht="13" x14ac:dyDescent="0.15">
      <c r="B807" s="43"/>
    </row>
    <row r="808" spans="2:2" ht="13" x14ac:dyDescent="0.15">
      <c r="B808" s="43"/>
    </row>
    <row r="809" spans="2:2" ht="13" x14ac:dyDescent="0.15">
      <c r="B809" s="43"/>
    </row>
    <row r="810" spans="2:2" ht="13" x14ac:dyDescent="0.15">
      <c r="B810" s="43"/>
    </row>
    <row r="811" spans="2:2" ht="13" x14ac:dyDescent="0.15">
      <c r="B811" s="43"/>
    </row>
    <row r="812" spans="2:2" ht="13" x14ac:dyDescent="0.15">
      <c r="B812" s="43"/>
    </row>
    <row r="813" spans="2:2" ht="13" x14ac:dyDescent="0.15">
      <c r="B813" s="43"/>
    </row>
    <row r="814" spans="2:2" ht="13" x14ac:dyDescent="0.15">
      <c r="B814" s="43"/>
    </row>
    <row r="815" spans="2:2" ht="13" x14ac:dyDescent="0.15">
      <c r="B815" s="43"/>
    </row>
    <row r="816" spans="2:2" ht="13" x14ac:dyDescent="0.15">
      <c r="B816" s="43"/>
    </row>
    <row r="817" spans="2:2" ht="13" x14ac:dyDescent="0.15">
      <c r="B817" s="43"/>
    </row>
    <row r="818" spans="2:2" ht="13" x14ac:dyDescent="0.15">
      <c r="B818" s="43"/>
    </row>
    <row r="819" spans="2:2" ht="13" x14ac:dyDescent="0.15">
      <c r="B819" s="43"/>
    </row>
    <row r="820" spans="2:2" ht="13" x14ac:dyDescent="0.15">
      <c r="B820" s="43"/>
    </row>
    <row r="821" spans="2:2" ht="13" x14ac:dyDescent="0.15">
      <c r="B821" s="43"/>
    </row>
    <row r="822" spans="2:2" ht="13" x14ac:dyDescent="0.15">
      <c r="B822" s="43"/>
    </row>
    <row r="823" spans="2:2" ht="13" x14ac:dyDescent="0.15">
      <c r="B823" s="43"/>
    </row>
    <row r="824" spans="2:2" ht="13" x14ac:dyDescent="0.15">
      <c r="B824" s="43"/>
    </row>
    <row r="825" spans="2:2" ht="13" x14ac:dyDescent="0.15">
      <c r="B825" s="43"/>
    </row>
    <row r="826" spans="2:2" ht="13" x14ac:dyDescent="0.15">
      <c r="B826" s="43"/>
    </row>
    <row r="827" spans="2:2" ht="13" x14ac:dyDescent="0.15">
      <c r="B827" s="43"/>
    </row>
    <row r="828" spans="2:2" ht="13" x14ac:dyDescent="0.15">
      <c r="B828" s="43"/>
    </row>
    <row r="829" spans="2:2" ht="13" x14ac:dyDescent="0.15">
      <c r="B829" s="43"/>
    </row>
    <row r="830" spans="2:2" ht="13" x14ac:dyDescent="0.15">
      <c r="B830" s="43"/>
    </row>
    <row r="831" spans="2:2" ht="13" x14ac:dyDescent="0.15">
      <c r="B831" s="43"/>
    </row>
    <row r="832" spans="2:2" ht="13" x14ac:dyDescent="0.15">
      <c r="B832" s="43"/>
    </row>
    <row r="833" spans="2:2" ht="13" x14ac:dyDescent="0.15">
      <c r="B833" s="43"/>
    </row>
    <row r="834" spans="2:2" ht="13" x14ac:dyDescent="0.15">
      <c r="B834" s="43"/>
    </row>
    <row r="835" spans="2:2" ht="13" x14ac:dyDescent="0.15">
      <c r="B835" s="43"/>
    </row>
    <row r="836" spans="2:2" ht="13" x14ac:dyDescent="0.15">
      <c r="B836" s="43"/>
    </row>
    <row r="837" spans="2:2" ht="13" x14ac:dyDescent="0.15">
      <c r="B837" s="43"/>
    </row>
    <row r="838" spans="2:2" ht="13" x14ac:dyDescent="0.15">
      <c r="B838" s="43"/>
    </row>
    <row r="839" spans="2:2" ht="13" x14ac:dyDescent="0.15">
      <c r="B839" s="43"/>
    </row>
    <row r="840" spans="2:2" ht="13" x14ac:dyDescent="0.15">
      <c r="B840" s="43"/>
    </row>
    <row r="841" spans="2:2" ht="13" x14ac:dyDescent="0.15">
      <c r="B841" s="43"/>
    </row>
    <row r="842" spans="2:2" ht="13" x14ac:dyDescent="0.15">
      <c r="B842" s="43"/>
    </row>
    <row r="843" spans="2:2" ht="13" x14ac:dyDescent="0.15">
      <c r="B843" s="43"/>
    </row>
    <row r="844" spans="2:2" ht="13" x14ac:dyDescent="0.15">
      <c r="B844" s="43"/>
    </row>
    <row r="845" spans="2:2" ht="13" x14ac:dyDescent="0.15">
      <c r="B845" s="43"/>
    </row>
    <row r="846" spans="2:2" ht="13" x14ac:dyDescent="0.15">
      <c r="B846" s="43"/>
    </row>
    <row r="847" spans="2:2" ht="13" x14ac:dyDescent="0.15">
      <c r="B847" s="43"/>
    </row>
    <row r="848" spans="2:2" ht="13" x14ac:dyDescent="0.15">
      <c r="B848" s="43"/>
    </row>
    <row r="849" spans="2:2" ht="13" x14ac:dyDescent="0.15">
      <c r="B849" s="43"/>
    </row>
    <row r="850" spans="2:2" ht="13" x14ac:dyDescent="0.15">
      <c r="B850" s="43"/>
    </row>
    <row r="851" spans="2:2" ht="13" x14ac:dyDescent="0.15">
      <c r="B851" s="43"/>
    </row>
    <row r="852" spans="2:2" ht="13" x14ac:dyDescent="0.15">
      <c r="B852" s="43"/>
    </row>
    <row r="853" spans="2:2" ht="13" x14ac:dyDescent="0.15">
      <c r="B853" s="43"/>
    </row>
    <row r="854" spans="2:2" ht="13" x14ac:dyDescent="0.15">
      <c r="B854" s="43"/>
    </row>
    <row r="855" spans="2:2" ht="13" x14ac:dyDescent="0.15">
      <c r="B855" s="43"/>
    </row>
    <row r="856" spans="2:2" ht="13" x14ac:dyDescent="0.15">
      <c r="B856" s="43"/>
    </row>
    <row r="857" spans="2:2" ht="13" x14ac:dyDescent="0.15">
      <c r="B857" s="43"/>
    </row>
    <row r="858" spans="2:2" ht="13" x14ac:dyDescent="0.15">
      <c r="B858" s="43"/>
    </row>
    <row r="859" spans="2:2" ht="13" x14ac:dyDescent="0.15">
      <c r="B859" s="43"/>
    </row>
    <row r="860" spans="2:2" ht="13" x14ac:dyDescent="0.15">
      <c r="B860" s="43"/>
    </row>
    <row r="861" spans="2:2" ht="13" x14ac:dyDescent="0.15">
      <c r="B861" s="43"/>
    </row>
    <row r="862" spans="2:2" ht="13" x14ac:dyDescent="0.15">
      <c r="B862" s="43"/>
    </row>
    <row r="863" spans="2:2" ht="13" x14ac:dyDescent="0.15">
      <c r="B863" s="43"/>
    </row>
    <row r="864" spans="2:2" ht="13" x14ac:dyDescent="0.15">
      <c r="B864" s="43"/>
    </row>
    <row r="865" spans="2:2" ht="13" x14ac:dyDescent="0.15">
      <c r="B865" s="43"/>
    </row>
    <row r="866" spans="2:2" ht="13" x14ac:dyDescent="0.15">
      <c r="B866" s="43"/>
    </row>
    <row r="867" spans="2:2" ht="13" x14ac:dyDescent="0.15">
      <c r="B867" s="43"/>
    </row>
    <row r="868" spans="2:2" ht="13" x14ac:dyDescent="0.15">
      <c r="B868" s="43"/>
    </row>
    <row r="869" spans="2:2" ht="13" x14ac:dyDescent="0.15">
      <c r="B869" s="43"/>
    </row>
    <row r="870" spans="2:2" ht="13" x14ac:dyDescent="0.15">
      <c r="B870" s="43"/>
    </row>
    <row r="871" spans="2:2" ht="13" x14ac:dyDescent="0.15">
      <c r="B871" s="43"/>
    </row>
    <row r="872" spans="2:2" ht="13" x14ac:dyDescent="0.15">
      <c r="B872" s="43"/>
    </row>
    <row r="873" spans="2:2" ht="13" x14ac:dyDescent="0.15">
      <c r="B873" s="43"/>
    </row>
    <row r="874" spans="2:2" ht="13" x14ac:dyDescent="0.15">
      <c r="B874" s="43"/>
    </row>
    <row r="875" spans="2:2" ht="13" x14ac:dyDescent="0.15">
      <c r="B875" s="43"/>
    </row>
    <row r="876" spans="2:2" ht="13" x14ac:dyDescent="0.15">
      <c r="B876" s="43"/>
    </row>
    <row r="877" spans="2:2" ht="13" x14ac:dyDescent="0.15">
      <c r="B877" s="43"/>
    </row>
    <row r="878" spans="2:2" ht="13" x14ac:dyDescent="0.15">
      <c r="B878" s="43"/>
    </row>
    <row r="879" spans="2:2" ht="13" x14ac:dyDescent="0.15">
      <c r="B879" s="43"/>
    </row>
    <row r="880" spans="2:2" ht="13" x14ac:dyDescent="0.15">
      <c r="B880" s="43"/>
    </row>
    <row r="881" spans="2:2" ht="13" x14ac:dyDescent="0.15">
      <c r="B881" s="43"/>
    </row>
    <row r="882" spans="2:2" ht="13" x14ac:dyDescent="0.15">
      <c r="B882" s="43"/>
    </row>
    <row r="883" spans="2:2" ht="13" x14ac:dyDescent="0.15">
      <c r="B883" s="43"/>
    </row>
    <row r="884" spans="2:2" ht="13" x14ac:dyDescent="0.15">
      <c r="B884" s="43"/>
    </row>
    <row r="885" spans="2:2" ht="13" x14ac:dyDescent="0.15">
      <c r="B885" s="43"/>
    </row>
    <row r="886" spans="2:2" ht="13" x14ac:dyDescent="0.15">
      <c r="B886" s="43"/>
    </row>
    <row r="887" spans="2:2" ht="13" x14ac:dyDescent="0.15">
      <c r="B887" s="43"/>
    </row>
    <row r="888" spans="2:2" ht="13" x14ac:dyDescent="0.15">
      <c r="B888" s="43"/>
    </row>
    <row r="889" spans="2:2" ht="13" x14ac:dyDescent="0.15">
      <c r="B889" s="43"/>
    </row>
    <row r="890" spans="2:2" ht="13" x14ac:dyDescent="0.15">
      <c r="B890" s="43"/>
    </row>
    <row r="891" spans="2:2" ht="13" x14ac:dyDescent="0.15">
      <c r="B891" s="43"/>
    </row>
    <row r="892" spans="2:2" ht="13" x14ac:dyDescent="0.15">
      <c r="B892" s="43"/>
    </row>
    <row r="893" spans="2:2" ht="13" x14ac:dyDescent="0.15">
      <c r="B893" s="43"/>
    </row>
    <row r="894" spans="2:2" ht="13" x14ac:dyDescent="0.15">
      <c r="B894" s="43"/>
    </row>
    <row r="895" spans="2:2" ht="13" x14ac:dyDescent="0.15">
      <c r="B895" s="43"/>
    </row>
    <row r="896" spans="2:2" ht="13" x14ac:dyDescent="0.15">
      <c r="B896" s="43"/>
    </row>
    <row r="897" spans="2:2" ht="13" x14ac:dyDescent="0.15">
      <c r="B897" s="43"/>
    </row>
    <row r="898" spans="2:2" ht="13" x14ac:dyDescent="0.15">
      <c r="B898" s="43"/>
    </row>
    <row r="899" spans="2:2" ht="13" x14ac:dyDescent="0.15">
      <c r="B899" s="43"/>
    </row>
    <row r="900" spans="2:2" ht="13" x14ac:dyDescent="0.15">
      <c r="B900" s="43"/>
    </row>
    <row r="901" spans="2:2" ht="13" x14ac:dyDescent="0.15">
      <c r="B901" s="43"/>
    </row>
    <row r="902" spans="2:2" ht="13" x14ac:dyDescent="0.15">
      <c r="B902" s="43"/>
    </row>
    <row r="903" spans="2:2" ht="13" x14ac:dyDescent="0.15">
      <c r="B903" s="43"/>
    </row>
    <row r="904" spans="2:2" ht="13" x14ac:dyDescent="0.15">
      <c r="B904" s="43"/>
    </row>
    <row r="905" spans="2:2" ht="13" x14ac:dyDescent="0.15">
      <c r="B905" s="43"/>
    </row>
    <row r="906" spans="2:2" ht="13" x14ac:dyDescent="0.15">
      <c r="B906" s="43"/>
    </row>
    <row r="907" spans="2:2" ht="13" x14ac:dyDescent="0.15">
      <c r="B907" s="43"/>
    </row>
    <row r="908" spans="2:2" ht="13" x14ac:dyDescent="0.15">
      <c r="B908" s="43"/>
    </row>
    <row r="909" spans="2:2" ht="13" x14ac:dyDescent="0.15">
      <c r="B909" s="43"/>
    </row>
    <row r="910" spans="2:2" ht="13" x14ac:dyDescent="0.15">
      <c r="B910" s="43"/>
    </row>
    <row r="911" spans="2:2" ht="13" x14ac:dyDescent="0.15">
      <c r="B911" s="43"/>
    </row>
    <row r="912" spans="2:2" ht="13" x14ac:dyDescent="0.15">
      <c r="B912" s="43"/>
    </row>
    <row r="913" spans="2:2" ht="13" x14ac:dyDescent="0.15">
      <c r="B913" s="43"/>
    </row>
    <row r="914" spans="2:2" ht="13" x14ac:dyDescent="0.15">
      <c r="B914" s="43"/>
    </row>
    <row r="915" spans="2:2" ht="13" x14ac:dyDescent="0.15">
      <c r="B915" s="43"/>
    </row>
    <row r="916" spans="2:2" ht="13" x14ac:dyDescent="0.15">
      <c r="B916" s="43"/>
    </row>
    <row r="917" spans="2:2" ht="13" x14ac:dyDescent="0.15">
      <c r="B917" s="43"/>
    </row>
    <row r="918" spans="2:2" ht="13" x14ac:dyDescent="0.15">
      <c r="B918" s="43"/>
    </row>
    <row r="919" spans="2:2" ht="13" x14ac:dyDescent="0.15">
      <c r="B919" s="43"/>
    </row>
    <row r="920" spans="2:2" ht="13" x14ac:dyDescent="0.15">
      <c r="B920" s="43"/>
    </row>
    <row r="921" spans="2:2" ht="13" x14ac:dyDescent="0.15">
      <c r="B921" s="43"/>
    </row>
    <row r="922" spans="2:2" ht="13" x14ac:dyDescent="0.15">
      <c r="B922" s="43"/>
    </row>
    <row r="923" spans="2:2" ht="13" x14ac:dyDescent="0.15">
      <c r="B923" s="43"/>
    </row>
    <row r="924" spans="2:2" ht="13" x14ac:dyDescent="0.15">
      <c r="B924" s="43"/>
    </row>
    <row r="925" spans="2:2" ht="13" x14ac:dyDescent="0.15">
      <c r="B925" s="43"/>
    </row>
    <row r="926" spans="2:2" ht="13" x14ac:dyDescent="0.15">
      <c r="B926" s="43"/>
    </row>
    <row r="927" spans="2:2" ht="13" x14ac:dyDescent="0.15">
      <c r="B927" s="43"/>
    </row>
    <row r="928" spans="2:2" ht="13" x14ac:dyDescent="0.15">
      <c r="B928" s="43"/>
    </row>
    <row r="929" spans="2:2" ht="13" x14ac:dyDescent="0.15">
      <c r="B929" s="43"/>
    </row>
    <row r="930" spans="2:2" ht="13" x14ac:dyDescent="0.15">
      <c r="B930" s="43"/>
    </row>
    <row r="931" spans="2:2" ht="13" x14ac:dyDescent="0.15">
      <c r="B931" s="43"/>
    </row>
    <row r="932" spans="2:2" ht="13" x14ac:dyDescent="0.15">
      <c r="B932" s="43"/>
    </row>
    <row r="933" spans="2:2" ht="13" x14ac:dyDescent="0.15">
      <c r="B933" s="43"/>
    </row>
    <row r="934" spans="2:2" ht="13" x14ac:dyDescent="0.15">
      <c r="B934" s="43"/>
    </row>
    <row r="935" spans="2:2" ht="13" x14ac:dyDescent="0.15">
      <c r="B935" s="43"/>
    </row>
    <row r="936" spans="2:2" ht="13" x14ac:dyDescent="0.15">
      <c r="B936" s="43"/>
    </row>
    <row r="937" spans="2:2" ht="13" x14ac:dyDescent="0.15">
      <c r="B937" s="43"/>
    </row>
    <row r="938" spans="2:2" ht="13" x14ac:dyDescent="0.15">
      <c r="B938" s="43"/>
    </row>
    <row r="939" spans="2:2" ht="13" x14ac:dyDescent="0.15">
      <c r="B939" s="43"/>
    </row>
    <row r="940" spans="2:2" ht="13" x14ac:dyDescent="0.15">
      <c r="B940" s="43"/>
    </row>
    <row r="941" spans="2:2" ht="13" x14ac:dyDescent="0.15">
      <c r="B941" s="43"/>
    </row>
    <row r="942" spans="2:2" ht="13" x14ac:dyDescent="0.15">
      <c r="B942" s="43"/>
    </row>
    <row r="943" spans="2:2" ht="13" x14ac:dyDescent="0.15">
      <c r="B943" s="43"/>
    </row>
    <row r="944" spans="2:2" ht="13" x14ac:dyDescent="0.15">
      <c r="B944" s="43"/>
    </row>
    <row r="945" spans="2:2" ht="13" x14ac:dyDescent="0.15">
      <c r="B945" s="43"/>
    </row>
    <row r="946" spans="2:2" ht="13" x14ac:dyDescent="0.15">
      <c r="B946" s="43"/>
    </row>
    <row r="947" spans="2:2" ht="13" x14ac:dyDescent="0.15">
      <c r="B947" s="43"/>
    </row>
    <row r="948" spans="2:2" ht="13" x14ac:dyDescent="0.15">
      <c r="B948" s="43"/>
    </row>
    <row r="949" spans="2:2" ht="13" x14ac:dyDescent="0.15">
      <c r="B949" s="43"/>
    </row>
    <row r="950" spans="2:2" ht="13" x14ac:dyDescent="0.15">
      <c r="B950" s="43"/>
    </row>
    <row r="951" spans="2:2" ht="13" x14ac:dyDescent="0.15">
      <c r="B951" s="43"/>
    </row>
    <row r="952" spans="2:2" ht="13" x14ac:dyDescent="0.15">
      <c r="B952" s="43"/>
    </row>
    <row r="953" spans="2:2" ht="13" x14ac:dyDescent="0.15">
      <c r="B953" s="43"/>
    </row>
    <row r="954" spans="2:2" ht="13" x14ac:dyDescent="0.15">
      <c r="B954" s="43"/>
    </row>
    <row r="955" spans="2:2" ht="13" x14ac:dyDescent="0.15">
      <c r="B955" s="43"/>
    </row>
    <row r="956" spans="2:2" ht="13" x14ac:dyDescent="0.15">
      <c r="B956" s="43"/>
    </row>
    <row r="957" spans="2:2" ht="13" x14ac:dyDescent="0.15">
      <c r="B957" s="43"/>
    </row>
    <row r="958" spans="2:2" ht="13" x14ac:dyDescent="0.15">
      <c r="B958" s="43"/>
    </row>
    <row r="959" spans="2:2" ht="13" x14ac:dyDescent="0.15">
      <c r="B959" s="43"/>
    </row>
    <row r="960" spans="2:2" ht="13" x14ac:dyDescent="0.15">
      <c r="B960" s="43"/>
    </row>
    <row r="961" spans="2:2" ht="13" x14ac:dyDescent="0.15">
      <c r="B961" s="43"/>
    </row>
    <row r="962" spans="2:2" ht="13" x14ac:dyDescent="0.15">
      <c r="B962" s="43"/>
    </row>
    <row r="963" spans="2:2" ht="13" x14ac:dyDescent="0.15">
      <c r="B963" s="43"/>
    </row>
    <row r="964" spans="2:2" ht="13" x14ac:dyDescent="0.15">
      <c r="B964" s="43"/>
    </row>
    <row r="965" spans="2:2" ht="13" x14ac:dyDescent="0.15">
      <c r="B965" s="43"/>
    </row>
    <row r="966" spans="2:2" ht="13" x14ac:dyDescent="0.15">
      <c r="B966" s="43"/>
    </row>
    <row r="967" spans="2:2" ht="13" x14ac:dyDescent="0.15">
      <c r="B967" s="43"/>
    </row>
    <row r="968" spans="2:2" ht="13" x14ac:dyDescent="0.15">
      <c r="B968" s="43"/>
    </row>
    <row r="969" spans="2:2" ht="13" x14ac:dyDescent="0.15">
      <c r="B969" s="43"/>
    </row>
    <row r="970" spans="2:2" ht="13" x14ac:dyDescent="0.15">
      <c r="B970" s="43"/>
    </row>
    <row r="971" spans="2:2" ht="13" x14ac:dyDescent="0.15">
      <c r="B971" s="43"/>
    </row>
    <row r="972" spans="2:2" ht="13" x14ac:dyDescent="0.15">
      <c r="B972" s="43"/>
    </row>
    <row r="973" spans="2:2" ht="13" x14ac:dyDescent="0.15">
      <c r="B973" s="43"/>
    </row>
    <row r="974" spans="2:2" ht="13" x14ac:dyDescent="0.15">
      <c r="B974" s="43"/>
    </row>
    <row r="975" spans="2:2" ht="13" x14ac:dyDescent="0.15">
      <c r="B975" s="43"/>
    </row>
    <row r="976" spans="2:2" ht="13" x14ac:dyDescent="0.15">
      <c r="B976" s="43"/>
    </row>
    <row r="977" spans="2:2" ht="13" x14ac:dyDescent="0.15">
      <c r="B977" s="43"/>
    </row>
    <row r="978" spans="2:2" ht="13" x14ac:dyDescent="0.15">
      <c r="B978" s="43"/>
    </row>
    <row r="979" spans="2:2" ht="13" x14ac:dyDescent="0.15">
      <c r="B979" s="43"/>
    </row>
    <row r="980" spans="2:2" ht="13" x14ac:dyDescent="0.15">
      <c r="B980" s="43"/>
    </row>
    <row r="981" spans="2:2" ht="13" x14ac:dyDescent="0.15">
      <c r="B981" s="43"/>
    </row>
    <row r="982" spans="2:2" ht="13" x14ac:dyDescent="0.15">
      <c r="B982" s="43"/>
    </row>
    <row r="983" spans="2:2" ht="13" x14ac:dyDescent="0.15">
      <c r="B983" s="43"/>
    </row>
    <row r="984" spans="2:2" ht="13" x14ac:dyDescent="0.15">
      <c r="B984" s="43"/>
    </row>
    <row r="985" spans="2:2" ht="13" x14ac:dyDescent="0.15">
      <c r="B985" s="43"/>
    </row>
    <row r="986" spans="2:2" ht="13" x14ac:dyDescent="0.15">
      <c r="B986" s="43"/>
    </row>
    <row r="987" spans="2:2" ht="13" x14ac:dyDescent="0.15">
      <c r="B987" s="43"/>
    </row>
    <row r="988" spans="2:2" ht="13" x14ac:dyDescent="0.15">
      <c r="B988" s="43"/>
    </row>
    <row r="989" spans="2:2" ht="13" x14ac:dyDescent="0.15">
      <c r="B989" s="43"/>
    </row>
    <row r="990" spans="2:2" ht="13" x14ac:dyDescent="0.15">
      <c r="B990" s="43"/>
    </row>
    <row r="991" spans="2:2" ht="13" x14ac:dyDescent="0.15">
      <c r="B991" s="43"/>
    </row>
    <row r="992" spans="2:2" ht="13" x14ac:dyDescent="0.15">
      <c r="B992" s="43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C1071"/>
  <sheetViews>
    <sheetView workbookViewId="0">
      <pane ySplit="2" topLeftCell="A3" activePane="bottomLeft" state="frozen"/>
      <selection pane="bottomLeft" activeCell="B1" sqref="B1:B1048576"/>
    </sheetView>
  </sheetViews>
  <sheetFormatPr baseColWidth="10" defaultColWidth="12.6640625" defaultRowHeight="15.75" customHeight="1" x14ac:dyDescent="0.15"/>
  <cols>
    <col min="1" max="1" width="10.5" customWidth="1"/>
    <col min="2" max="2" width="14.1640625" customWidth="1"/>
    <col min="3" max="3" width="11.6640625" customWidth="1"/>
    <col min="4" max="4" width="48.83203125" customWidth="1"/>
    <col min="5" max="8" width="10.33203125" customWidth="1"/>
    <col min="9" max="9" width="15.5" customWidth="1"/>
    <col min="10" max="29" width="14.5" customWidth="1"/>
  </cols>
  <sheetData>
    <row r="1" spans="1:9" ht="13" x14ac:dyDescent="0.15">
      <c r="A1" s="116" t="s">
        <v>46</v>
      </c>
      <c r="B1" s="116" t="s">
        <v>53</v>
      </c>
      <c r="C1" s="117" t="s">
        <v>54</v>
      </c>
      <c r="D1" s="114" t="s">
        <v>55</v>
      </c>
      <c r="E1" s="114" t="s">
        <v>47</v>
      </c>
      <c r="F1" s="114" t="s">
        <v>56</v>
      </c>
      <c r="G1" s="114" t="s">
        <v>57</v>
      </c>
      <c r="H1" s="114" t="s">
        <v>58</v>
      </c>
      <c r="I1" s="115" t="s">
        <v>59</v>
      </c>
    </row>
    <row r="2" spans="1:9" ht="13" x14ac:dyDescent="0.15">
      <c r="A2" s="97"/>
      <c r="B2" s="97"/>
      <c r="C2" s="97"/>
      <c r="D2" s="97"/>
      <c r="E2" s="97"/>
      <c r="F2" s="97"/>
      <c r="G2" s="97"/>
      <c r="H2" s="97"/>
      <c r="I2" s="97"/>
    </row>
    <row r="3" spans="1:9" ht="13" x14ac:dyDescent="0.15">
      <c r="A3" s="109" t="s">
        <v>51</v>
      </c>
      <c r="B3" s="104">
        <v>44075</v>
      </c>
      <c r="C3" s="45">
        <v>45238</v>
      </c>
      <c r="D3" s="46" t="s">
        <v>60</v>
      </c>
      <c r="E3" s="46">
        <v>4200</v>
      </c>
      <c r="F3" s="46"/>
      <c r="G3" s="46"/>
      <c r="H3" s="46">
        <f t="shared" ref="H3:H4" si="0">E3*0.4</f>
        <v>1680</v>
      </c>
      <c r="I3" s="8">
        <v>45240</v>
      </c>
    </row>
    <row r="4" spans="1:9" ht="13" x14ac:dyDescent="0.15">
      <c r="A4" s="105"/>
      <c r="B4" s="105"/>
      <c r="C4" s="45">
        <v>45273</v>
      </c>
      <c r="D4" s="46" t="s">
        <v>61</v>
      </c>
      <c r="E4" s="47">
        <v>1400</v>
      </c>
      <c r="F4" s="47"/>
      <c r="G4" s="47"/>
      <c r="H4" s="46">
        <f t="shared" si="0"/>
        <v>560</v>
      </c>
      <c r="I4" s="8">
        <v>45301</v>
      </c>
    </row>
    <row r="5" spans="1:9" ht="13" x14ac:dyDescent="0.15">
      <c r="A5" s="105"/>
      <c r="B5" s="105"/>
      <c r="C5" s="45">
        <v>45039</v>
      </c>
      <c r="D5" s="48" t="s">
        <v>62</v>
      </c>
      <c r="E5" s="49">
        <v>3600</v>
      </c>
      <c r="F5" s="47">
        <v>2660</v>
      </c>
      <c r="G5" s="47"/>
      <c r="H5" s="46">
        <v>4460</v>
      </c>
      <c r="I5" s="8">
        <v>45514</v>
      </c>
    </row>
    <row r="6" spans="1:9" ht="13" x14ac:dyDescent="0.15">
      <c r="A6" s="105"/>
      <c r="B6" s="105"/>
      <c r="C6" s="45">
        <v>45548</v>
      </c>
      <c r="D6" s="48" t="s">
        <v>63</v>
      </c>
      <c r="E6" s="49">
        <v>1500</v>
      </c>
      <c r="F6" s="47"/>
      <c r="G6" s="47"/>
      <c r="H6" s="46">
        <v>750</v>
      </c>
      <c r="I6" s="8">
        <v>45574</v>
      </c>
    </row>
    <row r="7" spans="1:9" ht="13" x14ac:dyDescent="0.15">
      <c r="A7" s="110" t="s">
        <v>1</v>
      </c>
      <c r="B7" s="104">
        <v>44075</v>
      </c>
      <c r="C7" s="45">
        <v>45121</v>
      </c>
      <c r="D7" s="48" t="s">
        <v>64</v>
      </c>
      <c r="E7" s="49">
        <v>3400</v>
      </c>
      <c r="F7" s="47"/>
      <c r="G7" s="47"/>
      <c r="H7" s="46">
        <f t="shared" ref="H7:H9" si="1">E7*0.4</f>
        <v>1360</v>
      </c>
      <c r="I7" s="8">
        <v>45179</v>
      </c>
    </row>
    <row r="8" spans="1:9" ht="13" x14ac:dyDescent="0.15">
      <c r="A8" s="105"/>
      <c r="B8" s="105"/>
      <c r="C8" s="45">
        <v>45238</v>
      </c>
      <c r="D8" s="46" t="s">
        <v>60</v>
      </c>
      <c r="E8" s="47">
        <v>4200</v>
      </c>
      <c r="F8" s="47"/>
      <c r="G8" s="47"/>
      <c r="H8" s="46">
        <f t="shared" si="1"/>
        <v>1680</v>
      </c>
      <c r="I8" s="8">
        <v>45240</v>
      </c>
    </row>
    <row r="9" spans="1:9" ht="13" x14ac:dyDescent="0.15">
      <c r="A9" s="105"/>
      <c r="B9" s="105"/>
      <c r="C9" s="45">
        <v>45264</v>
      </c>
      <c r="D9" s="51" t="s">
        <v>61</v>
      </c>
      <c r="E9" s="47">
        <v>1500</v>
      </c>
      <c r="F9" s="47"/>
      <c r="G9" s="47"/>
      <c r="H9" s="46">
        <f t="shared" si="1"/>
        <v>600</v>
      </c>
      <c r="I9" s="8">
        <v>45267</v>
      </c>
    </row>
    <row r="10" spans="1:9" ht="13" x14ac:dyDescent="0.15">
      <c r="A10" s="97"/>
      <c r="B10" s="97"/>
      <c r="C10" s="45">
        <v>45974</v>
      </c>
      <c r="D10" s="52" t="s">
        <v>65</v>
      </c>
      <c r="E10" s="47">
        <v>2500</v>
      </c>
      <c r="F10" s="47"/>
      <c r="G10" s="47"/>
      <c r="H10" s="46">
        <f>E10*0.5</f>
        <v>1250</v>
      </c>
      <c r="I10" s="8">
        <v>46001</v>
      </c>
    </row>
    <row r="11" spans="1:9" ht="13" x14ac:dyDescent="0.15">
      <c r="A11" s="53" t="s">
        <v>12</v>
      </c>
      <c r="B11" s="54">
        <v>44075</v>
      </c>
      <c r="C11" s="45"/>
      <c r="D11" s="46"/>
      <c r="E11" s="46"/>
      <c r="F11" s="46"/>
      <c r="G11" s="46"/>
      <c r="H11" s="46">
        <f t="shared" ref="H11:H13" si="2">E11*0.4</f>
        <v>0</v>
      </c>
      <c r="I11" s="6"/>
    </row>
    <row r="12" spans="1:9" ht="13" x14ac:dyDescent="0.15">
      <c r="A12" s="111" t="s">
        <v>9</v>
      </c>
      <c r="B12" s="112">
        <v>44075</v>
      </c>
      <c r="C12" s="55">
        <v>45121</v>
      </c>
      <c r="D12" s="56" t="s">
        <v>66</v>
      </c>
      <c r="E12" s="56">
        <v>3825</v>
      </c>
      <c r="F12" s="56"/>
      <c r="G12" s="56"/>
      <c r="H12" s="56">
        <f t="shared" si="2"/>
        <v>1530</v>
      </c>
      <c r="I12" s="4">
        <v>45179</v>
      </c>
    </row>
    <row r="13" spans="1:9" ht="13" x14ac:dyDescent="0.15">
      <c r="A13" s="105"/>
      <c r="B13" s="105"/>
      <c r="C13" s="57">
        <v>45246</v>
      </c>
      <c r="D13" s="3" t="s">
        <v>67</v>
      </c>
      <c r="E13" s="3">
        <v>6375</v>
      </c>
      <c r="F13" s="56"/>
      <c r="G13" s="56"/>
      <c r="H13" s="56">
        <f t="shared" si="2"/>
        <v>2550</v>
      </c>
      <c r="I13" s="4">
        <v>45267</v>
      </c>
    </row>
    <row r="14" spans="1:9" ht="13" x14ac:dyDescent="0.15">
      <c r="A14" s="97"/>
      <c r="B14" s="97"/>
      <c r="C14" s="57">
        <v>45562</v>
      </c>
      <c r="D14" s="3" t="s">
        <v>68</v>
      </c>
      <c r="E14" s="3">
        <v>150</v>
      </c>
      <c r="F14" s="56">
        <v>1050</v>
      </c>
      <c r="G14" s="56"/>
      <c r="H14" s="56">
        <v>1125</v>
      </c>
      <c r="I14" s="4">
        <v>45574</v>
      </c>
    </row>
    <row r="15" spans="1:9" ht="13" x14ac:dyDescent="0.15">
      <c r="A15" s="113" t="s">
        <v>10</v>
      </c>
      <c r="B15" s="104">
        <v>44075</v>
      </c>
      <c r="C15" s="108">
        <v>45121</v>
      </c>
      <c r="D15" s="58" t="s">
        <v>66</v>
      </c>
      <c r="E15" s="58">
        <v>3825</v>
      </c>
      <c r="F15" s="46"/>
      <c r="G15" s="46"/>
      <c r="H15" s="46">
        <f t="shared" ref="H15:H18" si="3">E15*0.4</f>
        <v>1530</v>
      </c>
      <c r="I15" s="8">
        <v>45179</v>
      </c>
    </row>
    <row r="16" spans="1:9" ht="13" x14ac:dyDescent="0.15">
      <c r="A16" s="105"/>
      <c r="B16" s="105"/>
      <c r="C16" s="105"/>
      <c r="D16" s="58" t="s">
        <v>69</v>
      </c>
      <c r="E16" s="58">
        <v>3600</v>
      </c>
      <c r="F16" s="46"/>
      <c r="G16" s="46"/>
      <c r="H16" s="46">
        <f t="shared" si="3"/>
        <v>1440</v>
      </c>
      <c r="I16" s="8">
        <v>45179</v>
      </c>
    </row>
    <row r="17" spans="1:9" ht="13" x14ac:dyDescent="0.15">
      <c r="A17" s="105"/>
      <c r="B17" s="105"/>
      <c r="C17" s="97"/>
      <c r="D17" s="42" t="s">
        <v>64</v>
      </c>
      <c r="E17" s="59">
        <v>3400</v>
      </c>
      <c r="F17" s="47"/>
      <c r="G17" s="47"/>
      <c r="H17" s="46">
        <f t="shared" si="3"/>
        <v>1360</v>
      </c>
      <c r="I17" s="8">
        <v>45179</v>
      </c>
    </row>
    <row r="18" spans="1:9" ht="13" x14ac:dyDescent="0.15">
      <c r="A18" s="105"/>
      <c r="B18" s="105"/>
      <c r="C18" s="60">
        <v>45238</v>
      </c>
      <c r="D18" s="46" t="s">
        <v>60</v>
      </c>
      <c r="E18" s="61">
        <v>4200</v>
      </c>
      <c r="F18" s="47"/>
      <c r="G18" s="47"/>
      <c r="H18" s="46">
        <f t="shared" si="3"/>
        <v>1680</v>
      </c>
      <c r="I18" s="8">
        <v>45240</v>
      </c>
    </row>
    <row r="19" spans="1:9" ht="13" x14ac:dyDescent="0.15">
      <c r="A19" s="105"/>
      <c r="B19" s="105"/>
      <c r="C19" s="60">
        <v>45462</v>
      </c>
      <c r="D19" s="6" t="s">
        <v>62</v>
      </c>
      <c r="E19" s="61">
        <v>3600</v>
      </c>
      <c r="F19" s="47">
        <v>2010</v>
      </c>
      <c r="G19" s="47"/>
      <c r="H19" s="46">
        <f>E19*0.5+2010</f>
        <v>3810</v>
      </c>
      <c r="I19" s="8">
        <v>45514</v>
      </c>
    </row>
    <row r="20" spans="1:9" ht="13" x14ac:dyDescent="0.15">
      <c r="A20" s="105"/>
      <c r="B20" s="105"/>
      <c r="C20" s="60">
        <v>45758</v>
      </c>
      <c r="D20" s="6" t="s">
        <v>70</v>
      </c>
      <c r="E20" s="61">
        <v>4260</v>
      </c>
      <c r="F20" s="47"/>
      <c r="G20" s="47"/>
      <c r="H20" s="46">
        <f>E20*0.5</f>
        <v>2130</v>
      </c>
      <c r="I20" s="8">
        <v>45779</v>
      </c>
    </row>
    <row r="21" spans="1:9" ht="13" x14ac:dyDescent="0.15">
      <c r="A21" s="105"/>
      <c r="B21" s="105"/>
      <c r="C21" s="62">
        <v>45804</v>
      </c>
      <c r="D21" s="37" t="s">
        <v>71</v>
      </c>
      <c r="E21" s="63">
        <v>2560</v>
      </c>
      <c r="F21" s="64">
        <v>630</v>
      </c>
      <c r="G21" s="64"/>
      <c r="H21" s="65">
        <f>E21*0.5+F21</f>
        <v>1910</v>
      </c>
      <c r="I21" s="66">
        <v>45818</v>
      </c>
    </row>
    <row r="22" spans="1:9" ht="13" x14ac:dyDescent="0.15">
      <c r="A22" s="105"/>
      <c r="B22" s="105"/>
      <c r="C22" s="62">
        <v>45817</v>
      </c>
      <c r="D22" s="37" t="s">
        <v>72</v>
      </c>
      <c r="E22" s="63">
        <v>3600</v>
      </c>
      <c r="F22" s="64">
        <f>315+315</f>
        <v>630</v>
      </c>
      <c r="G22" s="64">
        <v>2000</v>
      </c>
      <c r="H22" s="65">
        <f>E22*0.5+F22+G22</f>
        <v>4430</v>
      </c>
      <c r="I22" s="8">
        <v>45848</v>
      </c>
    </row>
    <row r="23" spans="1:9" ht="13" x14ac:dyDescent="0.15">
      <c r="A23" s="107" t="s">
        <v>8</v>
      </c>
      <c r="B23" s="104">
        <v>44075</v>
      </c>
      <c r="C23" s="45">
        <v>45548</v>
      </c>
      <c r="D23" s="48" t="s">
        <v>63</v>
      </c>
      <c r="E23" s="49">
        <v>1500</v>
      </c>
      <c r="F23" s="47"/>
      <c r="G23" s="47"/>
      <c r="H23" s="46">
        <v>750</v>
      </c>
      <c r="I23" s="8">
        <v>45574</v>
      </c>
    </row>
    <row r="24" spans="1:9" ht="13" x14ac:dyDescent="0.15">
      <c r="A24" s="105"/>
      <c r="B24" s="105"/>
      <c r="C24" s="45">
        <v>45974</v>
      </c>
      <c r="D24" s="48" t="s">
        <v>73</v>
      </c>
      <c r="E24" s="49">
        <v>8000</v>
      </c>
      <c r="F24" s="47"/>
      <c r="G24" s="47"/>
      <c r="H24" s="46">
        <v>4000</v>
      </c>
      <c r="I24" s="8">
        <v>46001</v>
      </c>
    </row>
    <row r="25" spans="1:9" ht="13" x14ac:dyDescent="0.15">
      <c r="A25" s="105"/>
      <c r="B25" s="105"/>
      <c r="C25" s="45">
        <v>45974</v>
      </c>
      <c r="D25" s="48" t="s">
        <v>74</v>
      </c>
      <c r="E25" s="49">
        <v>8000</v>
      </c>
      <c r="F25" s="47"/>
      <c r="G25" s="47"/>
      <c r="H25" s="46">
        <v>4000</v>
      </c>
      <c r="I25" s="8">
        <v>46001</v>
      </c>
    </row>
    <row r="26" spans="1:9" ht="13" x14ac:dyDescent="0.15">
      <c r="A26" s="68" t="s">
        <v>21</v>
      </c>
      <c r="B26" s="69">
        <v>44200</v>
      </c>
      <c r="C26" s="60"/>
      <c r="D26" s="6"/>
      <c r="E26" s="6"/>
      <c r="F26" s="46"/>
      <c r="G26" s="46"/>
      <c r="H26" s="46">
        <f t="shared" ref="H26:H27" si="4">E26*0.4</f>
        <v>0</v>
      </c>
      <c r="I26" s="6"/>
    </row>
    <row r="27" spans="1:9" ht="13" x14ac:dyDescent="0.15">
      <c r="A27" s="107" t="s">
        <v>23</v>
      </c>
      <c r="B27" s="104">
        <v>44228</v>
      </c>
      <c r="C27" s="60">
        <v>45237</v>
      </c>
      <c r="D27" s="6" t="s">
        <v>75</v>
      </c>
      <c r="E27" s="6">
        <v>7000</v>
      </c>
      <c r="F27" s="6"/>
      <c r="G27" s="6"/>
      <c r="H27" s="6">
        <f t="shared" si="4"/>
        <v>2800</v>
      </c>
      <c r="I27" s="8">
        <v>45267</v>
      </c>
    </row>
    <row r="28" spans="1:9" ht="13" x14ac:dyDescent="0.15">
      <c r="A28" s="97"/>
      <c r="B28" s="97"/>
      <c r="C28" s="60">
        <v>45316</v>
      </c>
      <c r="D28" s="51" t="s">
        <v>76</v>
      </c>
      <c r="E28" s="6">
        <v>6300</v>
      </c>
      <c r="F28" s="46">
        <v>2980</v>
      </c>
      <c r="G28" s="46"/>
      <c r="H28" s="46">
        <v>6130</v>
      </c>
      <c r="I28" s="8">
        <v>45328</v>
      </c>
    </row>
    <row r="29" spans="1:9" ht="13" x14ac:dyDescent="0.15">
      <c r="A29" s="107" t="s">
        <v>15</v>
      </c>
      <c r="B29" s="104">
        <v>44256</v>
      </c>
      <c r="C29" s="60">
        <v>45121</v>
      </c>
      <c r="D29" s="51" t="s">
        <v>64</v>
      </c>
      <c r="E29" s="6">
        <v>3400</v>
      </c>
      <c r="F29" s="46"/>
      <c r="G29" s="46"/>
      <c r="H29" s="46">
        <f t="shared" ref="H29:H31" si="5">E29*0.4</f>
        <v>1360</v>
      </c>
      <c r="I29" s="8">
        <v>45179</v>
      </c>
    </row>
    <row r="30" spans="1:9" ht="13" x14ac:dyDescent="0.15">
      <c r="A30" s="105"/>
      <c r="B30" s="105"/>
      <c r="C30" s="60">
        <v>45260</v>
      </c>
      <c r="D30" s="51" t="s">
        <v>61</v>
      </c>
      <c r="E30" s="6">
        <v>1500</v>
      </c>
      <c r="F30" s="46"/>
      <c r="G30" s="46"/>
      <c r="H30" s="46">
        <f t="shared" si="5"/>
        <v>600</v>
      </c>
      <c r="I30" s="8">
        <v>45267</v>
      </c>
    </row>
    <row r="31" spans="1:9" ht="13" x14ac:dyDescent="0.15">
      <c r="A31" s="105"/>
      <c r="B31" s="105"/>
      <c r="C31" s="70">
        <v>45268</v>
      </c>
      <c r="D31" s="6" t="s">
        <v>77</v>
      </c>
      <c r="E31" s="6">
        <v>3743</v>
      </c>
      <c r="F31" s="46"/>
      <c r="G31" s="46"/>
      <c r="H31" s="46">
        <f t="shared" si="5"/>
        <v>1497.2</v>
      </c>
      <c r="I31" s="8">
        <v>45301</v>
      </c>
    </row>
    <row r="32" spans="1:9" ht="13" x14ac:dyDescent="0.15">
      <c r="A32" s="105"/>
      <c r="B32" s="105"/>
      <c r="C32" s="70">
        <v>45293</v>
      </c>
      <c r="D32" s="6" t="s">
        <v>78</v>
      </c>
      <c r="E32" s="6">
        <v>3000</v>
      </c>
      <c r="F32" s="46"/>
      <c r="G32" s="46"/>
      <c r="H32" s="46">
        <v>1500</v>
      </c>
      <c r="I32" s="8">
        <v>45328</v>
      </c>
    </row>
    <row r="33" spans="1:9" ht="13" x14ac:dyDescent="0.15">
      <c r="A33" s="105"/>
      <c r="B33" s="105"/>
      <c r="C33" s="70">
        <v>45385</v>
      </c>
      <c r="D33" s="6" t="s">
        <v>79</v>
      </c>
      <c r="E33" s="6">
        <v>3979</v>
      </c>
      <c r="F33" s="46"/>
      <c r="G33" s="46"/>
      <c r="H33" s="46">
        <f t="shared" ref="H33:H39" si="6">E33*0.5</f>
        <v>1989.5</v>
      </c>
      <c r="I33" s="8">
        <v>45391</v>
      </c>
    </row>
    <row r="34" spans="1:9" ht="13" x14ac:dyDescent="0.15">
      <c r="A34" s="105"/>
      <c r="B34" s="105"/>
      <c r="C34" s="70">
        <v>45399</v>
      </c>
      <c r="D34" s="6" t="s">
        <v>80</v>
      </c>
      <c r="E34" s="6">
        <v>1794</v>
      </c>
      <c r="F34" s="46"/>
      <c r="G34" s="46"/>
      <c r="H34" s="46">
        <f t="shared" si="6"/>
        <v>897</v>
      </c>
      <c r="I34" s="8">
        <v>45421</v>
      </c>
    </row>
    <row r="35" spans="1:9" ht="13" x14ac:dyDescent="0.15">
      <c r="A35" s="105"/>
      <c r="B35" s="105"/>
      <c r="C35" s="70">
        <v>45404</v>
      </c>
      <c r="D35" s="6" t="s">
        <v>81</v>
      </c>
      <c r="E35" s="6">
        <v>6802</v>
      </c>
      <c r="F35" s="46"/>
      <c r="G35" s="46"/>
      <c r="H35" s="46">
        <f t="shared" si="6"/>
        <v>3401</v>
      </c>
      <c r="I35" s="8">
        <v>45421</v>
      </c>
    </row>
    <row r="36" spans="1:9" ht="13" x14ac:dyDescent="0.15">
      <c r="A36" s="105"/>
      <c r="B36" s="105"/>
      <c r="C36" s="70">
        <v>45408</v>
      </c>
      <c r="D36" s="6" t="s">
        <v>82</v>
      </c>
      <c r="E36" s="6">
        <v>8637</v>
      </c>
      <c r="F36" s="46"/>
      <c r="G36" s="46"/>
      <c r="H36" s="46">
        <f t="shared" si="6"/>
        <v>4318.5</v>
      </c>
      <c r="I36" s="8">
        <v>45421</v>
      </c>
    </row>
    <row r="37" spans="1:9" ht="13" x14ac:dyDescent="0.15">
      <c r="A37" s="105"/>
      <c r="B37" s="105"/>
      <c r="C37" s="70">
        <v>45420</v>
      </c>
      <c r="D37" s="6" t="s">
        <v>83</v>
      </c>
      <c r="E37" s="6">
        <v>500</v>
      </c>
      <c r="F37" s="46"/>
      <c r="G37" s="46"/>
      <c r="H37" s="46">
        <f t="shared" si="6"/>
        <v>250</v>
      </c>
      <c r="I37" s="8">
        <v>45449</v>
      </c>
    </row>
    <row r="38" spans="1:9" ht="13" x14ac:dyDescent="0.15">
      <c r="A38" s="105"/>
      <c r="B38" s="105"/>
      <c r="C38" s="70">
        <v>45548</v>
      </c>
      <c r="D38" s="6" t="s">
        <v>84</v>
      </c>
      <c r="E38" s="6">
        <v>1690</v>
      </c>
      <c r="F38" s="46"/>
      <c r="G38" s="46"/>
      <c r="H38" s="46">
        <f t="shared" si="6"/>
        <v>845</v>
      </c>
      <c r="I38" s="8">
        <v>45574</v>
      </c>
    </row>
    <row r="39" spans="1:9" ht="13" x14ac:dyDescent="0.15">
      <c r="A39" s="105"/>
      <c r="B39" s="105"/>
      <c r="C39" s="70">
        <v>45565</v>
      </c>
      <c r="D39" s="6" t="s">
        <v>85</v>
      </c>
      <c r="E39" s="6">
        <v>4000</v>
      </c>
      <c r="F39" s="46"/>
      <c r="G39" s="46"/>
      <c r="H39" s="46">
        <f t="shared" si="6"/>
        <v>2000</v>
      </c>
      <c r="I39" s="8">
        <v>45574</v>
      </c>
    </row>
    <row r="40" spans="1:9" ht="13" x14ac:dyDescent="0.15">
      <c r="A40" s="105"/>
      <c r="B40" s="105"/>
      <c r="C40" s="70">
        <v>45597</v>
      </c>
      <c r="D40" s="6" t="s">
        <v>86</v>
      </c>
      <c r="E40" s="6">
        <v>1300</v>
      </c>
      <c r="F40" s="46"/>
      <c r="G40" s="46"/>
      <c r="H40" s="46">
        <f>E40*0.5+F40</f>
        <v>650</v>
      </c>
      <c r="I40" s="8">
        <v>45636</v>
      </c>
    </row>
    <row r="41" spans="1:9" ht="13" x14ac:dyDescent="0.15">
      <c r="A41" s="105"/>
      <c r="B41" s="105"/>
      <c r="C41" s="70">
        <v>45646</v>
      </c>
      <c r="D41" s="6" t="s">
        <v>87</v>
      </c>
      <c r="E41" s="6">
        <v>1000</v>
      </c>
      <c r="F41" s="46"/>
      <c r="G41" s="46"/>
      <c r="H41" s="46">
        <f t="shared" ref="H41:H53" si="7">E41*0.5</f>
        <v>500</v>
      </c>
      <c r="I41" s="8">
        <v>45667</v>
      </c>
    </row>
    <row r="42" spans="1:9" ht="13" x14ac:dyDescent="0.15">
      <c r="A42" s="105"/>
      <c r="B42" s="105"/>
      <c r="C42" s="70">
        <v>45713</v>
      </c>
      <c r="D42" s="6" t="s">
        <v>88</v>
      </c>
      <c r="E42" s="6">
        <v>5975</v>
      </c>
      <c r="F42" s="46"/>
      <c r="G42" s="46"/>
      <c r="H42" s="46">
        <f t="shared" si="7"/>
        <v>2987.5</v>
      </c>
      <c r="I42" s="8">
        <v>45726</v>
      </c>
    </row>
    <row r="43" spans="1:9" ht="13" x14ac:dyDescent="0.15">
      <c r="A43" s="105"/>
      <c r="B43" s="105"/>
      <c r="C43" s="70">
        <v>45726</v>
      </c>
      <c r="D43" s="6" t="s">
        <v>89</v>
      </c>
      <c r="E43" s="6">
        <v>1999</v>
      </c>
      <c r="F43" s="46"/>
      <c r="G43" s="46"/>
      <c r="H43" s="46">
        <f t="shared" si="7"/>
        <v>999.5</v>
      </c>
      <c r="I43" s="8">
        <v>45757</v>
      </c>
    </row>
    <row r="44" spans="1:9" ht="13" x14ac:dyDescent="0.15">
      <c r="A44" s="105"/>
      <c r="B44" s="105"/>
      <c r="C44" s="70">
        <v>45733</v>
      </c>
      <c r="D44" s="6" t="s">
        <v>90</v>
      </c>
      <c r="E44" s="6">
        <v>2500</v>
      </c>
      <c r="F44" s="46"/>
      <c r="G44" s="46"/>
      <c r="H44" s="46">
        <f t="shared" si="7"/>
        <v>1250</v>
      </c>
      <c r="I44" s="8">
        <v>45757</v>
      </c>
    </row>
    <row r="45" spans="1:9" ht="13" x14ac:dyDescent="0.15">
      <c r="A45" s="105"/>
      <c r="B45" s="105"/>
      <c r="C45" s="70">
        <v>45755</v>
      </c>
      <c r="D45" s="6" t="s">
        <v>91</v>
      </c>
      <c r="E45" s="6">
        <v>1500</v>
      </c>
      <c r="F45" s="46"/>
      <c r="G45" s="46"/>
      <c r="H45" s="46">
        <f t="shared" si="7"/>
        <v>750</v>
      </c>
      <c r="I45" s="8">
        <v>45779</v>
      </c>
    </row>
    <row r="46" spans="1:9" ht="13" x14ac:dyDescent="0.15">
      <c r="A46" s="105"/>
      <c r="B46" s="105"/>
      <c r="C46" s="70">
        <v>45807</v>
      </c>
      <c r="D46" s="6" t="s">
        <v>92</v>
      </c>
      <c r="E46" s="6">
        <v>4100</v>
      </c>
      <c r="F46" s="46"/>
      <c r="G46" s="46"/>
      <c r="H46" s="46">
        <f t="shared" si="7"/>
        <v>2050</v>
      </c>
      <c r="I46" s="8">
        <v>45818</v>
      </c>
    </row>
    <row r="47" spans="1:9" ht="13" x14ac:dyDescent="0.15">
      <c r="A47" s="105"/>
      <c r="B47" s="105"/>
      <c r="C47" s="70">
        <v>45811</v>
      </c>
      <c r="D47" s="6" t="s">
        <v>93</v>
      </c>
      <c r="E47" s="6">
        <v>750</v>
      </c>
      <c r="F47" s="46"/>
      <c r="G47" s="46"/>
      <c r="H47" s="46">
        <f t="shared" si="7"/>
        <v>375</v>
      </c>
      <c r="I47" s="8">
        <v>45848</v>
      </c>
    </row>
    <row r="48" spans="1:9" ht="13" x14ac:dyDescent="0.15">
      <c r="A48" s="105"/>
      <c r="B48" s="105"/>
      <c r="C48" s="70">
        <v>45826</v>
      </c>
      <c r="D48" s="6" t="s">
        <v>94</v>
      </c>
      <c r="E48" s="6">
        <v>1000</v>
      </c>
      <c r="F48" s="46"/>
      <c r="G48" s="46"/>
      <c r="H48" s="46">
        <f t="shared" si="7"/>
        <v>500</v>
      </c>
      <c r="I48" s="8">
        <v>45848</v>
      </c>
    </row>
    <row r="49" spans="1:9" ht="13" x14ac:dyDescent="0.15">
      <c r="A49" s="105"/>
      <c r="B49" s="105"/>
      <c r="C49" s="70">
        <v>45869</v>
      </c>
      <c r="D49" s="6" t="s">
        <v>95</v>
      </c>
      <c r="E49" s="6">
        <v>1560</v>
      </c>
      <c r="F49" s="46"/>
      <c r="G49" s="46"/>
      <c r="H49" s="46">
        <f t="shared" si="7"/>
        <v>780</v>
      </c>
      <c r="I49" s="8">
        <v>45879</v>
      </c>
    </row>
    <row r="50" spans="1:9" ht="13" x14ac:dyDescent="0.15">
      <c r="A50" s="105"/>
      <c r="B50" s="105"/>
      <c r="C50" s="70">
        <v>45919</v>
      </c>
      <c r="D50" s="6" t="s">
        <v>96</v>
      </c>
      <c r="E50" s="6">
        <v>1199</v>
      </c>
      <c r="F50" s="46"/>
      <c r="G50" s="46"/>
      <c r="H50" s="46">
        <f t="shared" si="7"/>
        <v>599.5</v>
      </c>
      <c r="I50" s="8">
        <v>45940</v>
      </c>
    </row>
    <row r="51" spans="1:9" ht="13" x14ac:dyDescent="0.15">
      <c r="A51" s="105"/>
      <c r="B51" s="105"/>
      <c r="C51" s="70">
        <v>45923</v>
      </c>
      <c r="D51" s="6" t="s">
        <v>97</v>
      </c>
      <c r="E51" s="6">
        <v>3250</v>
      </c>
      <c r="F51" s="46"/>
      <c r="G51" s="46"/>
      <c r="H51" s="46">
        <f t="shared" si="7"/>
        <v>1625</v>
      </c>
      <c r="I51" s="8">
        <v>45940</v>
      </c>
    </row>
    <row r="52" spans="1:9" ht="13" x14ac:dyDescent="0.15">
      <c r="A52" s="105"/>
      <c r="B52" s="105"/>
      <c r="C52" s="70">
        <v>45933</v>
      </c>
      <c r="D52" s="6" t="s">
        <v>98</v>
      </c>
      <c r="E52" s="6">
        <v>5500</v>
      </c>
      <c r="F52" s="46"/>
      <c r="G52" s="46"/>
      <c r="H52" s="46">
        <f t="shared" si="7"/>
        <v>2750</v>
      </c>
      <c r="I52" s="8">
        <v>45971</v>
      </c>
    </row>
    <row r="53" spans="1:9" ht="13" x14ac:dyDescent="0.15">
      <c r="A53" s="97"/>
      <c r="B53" s="97"/>
      <c r="C53" s="70">
        <v>45966</v>
      </c>
      <c r="D53" s="6" t="s">
        <v>65</v>
      </c>
      <c r="E53" s="6">
        <v>1750</v>
      </c>
      <c r="F53" s="46"/>
      <c r="G53" s="46"/>
      <c r="H53" s="46">
        <f t="shared" si="7"/>
        <v>875</v>
      </c>
      <c r="I53" s="8">
        <v>46001</v>
      </c>
    </row>
    <row r="54" spans="1:9" ht="13" x14ac:dyDescent="0.15">
      <c r="A54" s="107" t="s">
        <v>24</v>
      </c>
      <c r="B54" s="104">
        <v>44256</v>
      </c>
      <c r="C54" s="106">
        <v>45121</v>
      </c>
      <c r="D54" s="6" t="s">
        <v>64</v>
      </c>
      <c r="E54" s="6">
        <v>3400</v>
      </c>
      <c r="F54" s="46"/>
      <c r="G54" s="46"/>
      <c r="H54" s="46">
        <f t="shared" ref="H54:H56" si="8">E54*0.4</f>
        <v>1360</v>
      </c>
      <c r="I54" s="8">
        <v>45179</v>
      </c>
    </row>
    <row r="55" spans="1:9" ht="13" x14ac:dyDescent="0.15">
      <c r="A55" s="105"/>
      <c r="B55" s="105"/>
      <c r="C55" s="97"/>
      <c r="D55" s="6" t="s">
        <v>99</v>
      </c>
      <c r="E55" s="6">
        <v>29000</v>
      </c>
      <c r="F55" s="46"/>
      <c r="G55" s="46"/>
      <c r="H55" s="46">
        <f t="shared" si="8"/>
        <v>11600</v>
      </c>
      <c r="I55" s="8">
        <v>45179</v>
      </c>
    </row>
    <row r="56" spans="1:9" ht="13" x14ac:dyDescent="0.15">
      <c r="A56" s="105"/>
      <c r="B56" s="105"/>
      <c r="C56" s="60">
        <v>45237</v>
      </c>
      <c r="D56" s="6" t="s">
        <v>75</v>
      </c>
      <c r="E56" s="6">
        <v>7000</v>
      </c>
      <c r="F56" s="6"/>
      <c r="G56" s="6"/>
      <c r="H56" s="6">
        <f t="shared" si="8"/>
        <v>2800</v>
      </c>
      <c r="I56" s="8">
        <v>45267</v>
      </c>
    </row>
    <row r="57" spans="1:9" ht="13" x14ac:dyDescent="0.15">
      <c r="A57" s="105"/>
      <c r="B57" s="105"/>
      <c r="C57" s="60">
        <v>45406</v>
      </c>
      <c r="D57" s="46" t="s">
        <v>100</v>
      </c>
      <c r="E57" s="6">
        <v>4245</v>
      </c>
      <c r="F57" s="46"/>
      <c r="G57" s="46"/>
      <c r="H57" s="46">
        <f t="shared" ref="H57:H58" si="9">E57*0.5</f>
        <v>2122.5</v>
      </c>
      <c r="I57" s="8">
        <v>45421</v>
      </c>
    </row>
    <row r="58" spans="1:9" ht="13" x14ac:dyDescent="0.15">
      <c r="A58" s="105"/>
      <c r="B58" s="105"/>
      <c r="C58" s="60">
        <v>45414</v>
      </c>
      <c r="D58" s="46" t="s">
        <v>101</v>
      </c>
      <c r="E58" s="6">
        <v>25200</v>
      </c>
      <c r="F58" s="46"/>
      <c r="G58" s="46"/>
      <c r="H58" s="46">
        <f t="shared" si="9"/>
        <v>12600</v>
      </c>
      <c r="I58" s="8">
        <v>45449</v>
      </c>
    </row>
    <row r="59" spans="1:9" ht="13" x14ac:dyDescent="0.15">
      <c r="A59" s="105"/>
      <c r="B59" s="105"/>
      <c r="C59" s="45">
        <v>45548</v>
      </c>
      <c r="D59" s="48" t="s">
        <v>63</v>
      </c>
      <c r="E59" s="49">
        <v>1500</v>
      </c>
      <c r="F59" s="47"/>
      <c r="G59" s="47"/>
      <c r="H59" s="46">
        <v>750</v>
      </c>
      <c r="I59" s="8">
        <v>45574</v>
      </c>
    </row>
    <row r="60" spans="1:9" ht="13" x14ac:dyDescent="0.15">
      <c r="A60" s="105"/>
      <c r="B60" s="105"/>
      <c r="C60" s="60">
        <v>45562</v>
      </c>
      <c r="D60" s="46" t="s">
        <v>102</v>
      </c>
      <c r="E60" s="61">
        <v>8000</v>
      </c>
      <c r="F60" s="47"/>
      <c r="G60" s="47"/>
      <c r="H60" s="46">
        <f t="shared" ref="H60:H68" si="10">E60*0.5</f>
        <v>4000</v>
      </c>
      <c r="I60" s="8">
        <v>45574</v>
      </c>
    </row>
    <row r="61" spans="1:9" ht="13" x14ac:dyDescent="0.15">
      <c r="A61" s="105"/>
      <c r="B61" s="105"/>
      <c r="C61" s="60">
        <v>45727</v>
      </c>
      <c r="D61" s="46" t="s">
        <v>103</v>
      </c>
      <c r="E61" s="61">
        <v>3273</v>
      </c>
      <c r="F61" s="47"/>
      <c r="G61" s="47"/>
      <c r="H61" s="46">
        <f t="shared" si="10"/>
        <v>1636.5</v>
      </c>
      <c r="I61" s="8">
        <v>45757</v>
      </c>
    </row>
    <row r="62" spans="1:9" ht="13" x14ac:dyDescent="0.15">
      <c r="A62" s="105"/>
      <c r="B62" s="105"/>
      <c r="C62" s="60">
        <v>45733</v>
      </c>
      <c r="D62" s="46" t="s">
        <v>90</v>
      </c>
      <c r="E62" s="61">
        <v>2250</v>
      </c>
      <c r="F62" s="47"/>
      <c r="G62" s="47"/>
      <c r="H62" s="46">
        <f t="shared" si="10"/>
        <v>1125</v>
      </c>
      <c r="I62" s="8">
        <v>45757</v>
      </c>
    </row>
    <row r="63" spans="1:9" ht="13" x14ac:dyDescent="0.15">
      <c r="A63" s="105"/>
      <c r="B63" s="105"/>
      <c r="C63" s="60">
        <v>45740</v>
      </c>
      <c r="D63" s="46" t="s">
        <v>104</v>
      </c>
      <c r="E63" s="61">
        <v>2477</v>
      </c>
      <c r="F63" s="47"/>
      <c r="G63" s="47"/>
      <c r="H63" s="46">
        <f t="shared" si="10"/>
        <v>1238.5</v>
      </c>
      <c r="I63" s="8">
        <v>45757</v>
      </c>
    </row>
    <row r="64" spans="1:9" ht="13" x14ac:dyDescent="0.15">
      <c r="A64" s="105"/>
      <c r="B64" s="105"/>
      <c r="C64" s="60">
        <v>45790</v>
      </c>
      <c r="D64" s="46" t="s">
        <v>105</v>
      </c>
      <c r="E64" s="61">
        <v>3190</v>
      </c>
      <c r="F64" s="47"/>
      <c r="G64" s="47"/>
      <c r="H64" s="46">
        <f t="shared" si="10"/>
        <v>1595</v>
      </c>
      <c r="I64" s="8">
        <v>45818</v>
      </c>
    </row>
    <row r="65" spans="1:9" ht="13" x14ac:dyDescent="0.15">
      <c r="A65" s="105"/>
      <c r="B65" s="105"/>
      <c r="C65" s="60">
        <v>45796</v>
      </c>
      <c r="D65" s="46" t="s">
        <v>92</v>
      </c>
      <c r="E65" s="61">
        <v>4100</v>
      </c>
      <c r="F65" s="47"/>
      <c r="G65" s="47"/>
      <c r="H65" s="46">
        <f t="shared" si="10"/>
        <v>2050</v>
      </c>
      <c r="I65" s="8">
        <v>45818</v>
      </c>
    </row>
    <row r="66" spans="1:9" ht="13" x14ac:dyDescent="0.15">
      <c r="A66" s="105"/>
      <c r="B66" s="105"/>
      <c r="C66" s="60">
        <v>45810</v>
      </c>
      <c r="D66" s="46" t="s">
        <v>106</v>
      </c>
      <c r="E66" s="61">
        <v>2245</v>
      </c>
      <c r="F66" s="47"/>
      <c r="G66" s="47"/>
      <c r="H66" s="46">
        <f t="shared" si="10"/>
        <v>1122.5</v>
      </c>
      <c r="I66" s="8">
        <v>45848</v>
      </c>
    </row>
    <row r="67" spans="1:9" ht="13" x14ac:dyDescent="0.15">
      <c r="A67" s="105"/>
      <c r="B67" s="105"/>
      <c r="C67" s="60">
        <v>45840</v>
      </c>
      <c r="D67" s="46" t="s">
        <v>107</v>
      </c>
      <c r="E67" s="61">
        <v>2190</v>
      </c>
      <c r="F67" s="47"/>
      <c r="G67" s="47"/>
      <c r="H67" s="46">
        <f t="shared" si="10"/>
        <v>1095</v>
      </c>
      <c r="I67" s="8">
        <v>45879</v>
      </c>
    </row>
    <row r="68" spans="1:9" ht="13" x14ac:dyDescent="0.15">
      <c r="A68" s="105"/>
      <c r="B68" s="105"/>
      <c r="C68" s="70">
        <v>45923</v>
      </c>
      <c r="D68" s="6" t="s">
        <v>97</v>
      </c>
      <c r="E68" s="6">
        <v>3250</v>
      </c>
      <c r="F68" s="46"/>
      <c r="G68" s="46"/>
      <c r="H68" s="46">
        <f t="shared" si="10"/>
        <v>1625</v>
      </c>
      <c r="I68" s="8">
        <v>45940</v>
      </c>
    </row>
    <row r="69" spans="1:9" ht="13" x14ac:dyDescent="0.15">
      <c r="A69" s="105"/>
      <c r="B69" s="105"/>
      <c r="C69" s="70">
        <v>45966</v>
      </c>
      <c r="D69" s="6" t="s">
        <v>98</v>
      </c>
      <c r="E69" s="6">
        <v>8000</v>
      </c>
      <c r="F69" s="46"/>
      <c r="G69" s="46"/>
      <c r="H69" s="46">
        <v>4000</v>
      </c>
      <c r="I69" s="8">
        <v>46001</v>
      </c>
    </row>
    <row r="70" spans="1:9" ht="13" x14ac:dyDescent="0.15">
      <c r="A70" s="67" t="s">
        <v>28</v>
      </c>
      <c r="B70" s="44">
        <v>44305</v>
      </c>
      <c r="C70" s="60">
        <v>45238</v>
      </c>
      <c r="D70" s="46" t="s">
        <v>60</v>
      </c>
      <c r="E70" s="6">
        <v>4200</v>
      </c>
      <c r="F70" s="46"/>
      <c r="G70" s="46"/>
      <c r="H70" s="46">
        <f>E70*0.4</f>
        <v>1680</v>
      </c>
      <c r="I70" s="8">
        <v>45240</v>
      </c>
    </row>
    <row r="71" spans="1:9" ht="13" hidden="1" x14ac:dyDescent="0.15">
      <c r="A71" s="123" t="s">
        <v>32</v>
      </c>
      <c r="B71" s="112">
        <v>44354</v>
      </c>
      <c r="C71" s="124">
        <v>45291</v>
      </c>
      <c r="D71" s="3" t="s">
        <v>61</v>
      </c>
      <c r="E71" s="3">
        <v>1400</v>
      </c>
      <c r="F71" s="56"/>
      <c r="G71" s="56"/>
      <c r="H71" s="56">
        <f t="shared" ref="H71:H78" si="11">E71*0.4</f>
        <v>560</v>
      </c>
      <c r="I71" s="4">
        <v>45328</v>
      </c>
    </row>
    <row r="72" spans="1:9" ht="13" hidden="1" x14ac:dyDescent="0.15">
      <c r="A72" s="105"/>
      <c r="B72" s="105"/>
      <c r="C72" s="105"/>
      <c r="D72" s="3" t="s">
        <v>108</v>
      </c>
      <c r="E72" s="3">
        <v>1000</v>
      </c>
      <c r="F72" s="56"/>
      <c r="G72" s="56"/>
      <c r="H72" s="56">
        <f t="shared" si="11"/>
        <v>400</v>
      </c>
      <c r="I72" s="4">
        <v>45328</v>
      </c>
    </row>
    <row r="73" spans="1:9" ht="13" x14ac:dyDescent="0.15">
      <c r="A73" s="97"/>
      <c r="B73" s="97"/>
      <c r="C73" s="97"/>
      <c r="D73" s="3" t="s">
        <v>109</v>
      </c>
      <c r="E73" s="3">
        <v>2000</v>
      </c>
      <c r="F73" s="56"/>
      <c r="G73" s="56"/>
      <c r="H73" s="56">
        <f t="shared" si="11"/>
        <v>800</v>
      </c>
      <c r="I73" s="4">
        <v>45328</v>
      </c>
    </row>
    <row r="74" spans="1:9" ht="13" x14ac:dyDescent="0.15">
      <c r="A74" s="68" t="s">
        <v>25</v>
      </c>
      <c r="B74" s="54">
        <v>44529</v>
      </c>
      <c r="C74" s="60">
        <v>45238</v>
      </c>
      <c r="D74" s="46" t="s">
        <v>60</v>
      </c>
      <c r="E74" s="6">
        <v>4200</v>
      </c>
      <c r="F74" s="46"/>
      <c r="G74" s="46"/>
      <c r="H74" s="46">
        <f t="shared" si="11"/>
        <v>1680</v>
      </c>
      <c r="I74" s="8">
        <v>45240</v>
      </c>
    </row>
    <row r="75" spans="1:9" ht="13" x14ac:dyDescent="0.15">
      <c r="A75" s="107" t="s">
        <v>2</v>
      </c>
      <c r="B75" s="104">
        <v>44531</v>
      </c>
      <c r="C75" s="106">
        <v>45121</v>
      </c>
      <c r="D75" s="6" t="s">
        <v>110</v>
      </c>
      <c r="E75" s="6">
        <v>2800</v>
      </c>
      <c r="F75" s="46"/>
      <c r="G75" s="46"/>
      <c r="H75" s="46">
        <f t="shared" si="11"/>
        <v>1120</v>
      </c>
      <c r="I75" s="8">
        <v>45179</v>
      </c>
    </row>
    <row r="76" spans="1:9" ht="13" x14ac:dyDescent="0.15">
      <c r="A76" s="105"/>
      <c r="B76" s="105"/>
      <c r="C76" s="105"/>
      <c r="D76" s="6" t="s">
        <v>111</v>
      </c>
      <c r="E76" s="6">
        <v>1799</v>
      </c>
      <c r="F76" s="46"/>
      <c r="G76" s="46"/>
      <c r="H76" s="46">
        <f t="shared" si="11"/>
        <v>719.6</v>
      </c>
      <c r="I76" s="8">
        <v>45179</v>
      </c>
    </row>
    <row r="77" spans="1:9" ht="13" x14ac:dyDescent="0.15">
      <c r="A77" s="105"/>
      <c r="B77" s="105"/>
      <c r="C77" s="97"/>
      <c r="D77" s="6" t="s">
        <v>112</v>
      </c>
      <c r="E77" s="6">
        <v>7480</v>
      </c>
      <c r="F77" s="46"/>
      <c r="G77" s="46"/>
      <c r="H77" s="46">
        <f t="shared" si="11"/>
        <v>2992</v>
      </c>
      <c r="I77" s="8">
        <v>45179</v>
      </c>
    </row>
    <row r="78" spans="1:9" ht="13" x14ac:dyDescent="0.15">
      <c r="A78" s="105"/>
      <c r="B78" s="105"/>
      <c r="C78" s="70">
        <v>45246</v>
      </c>
      <c r="D78" s="6" t="s">
        <v>67</v>
      </c>
      <c r="E78" s="6">
        <v>6375</v>
      </c>
      <c r="F78" s="46"/>
      <c r="G78" s="46"/>
      <c r="H78" s="46">
        <f t="shared" si="11"/>
        <v>2550</v>
      </c>
      <c r="I78" s="8">
        <v>45267</v>
      </c>
    </row>
    <row r="79" spans="1:9" ht="13" x14ac:dyDescent="0.15">
      <c r="A79" s="105"/>
      <c r="B79" s="105"/>
      <c r="C79" s="70">
        <v>45404</v>
      </c>
      <c r="D79" s="6" t="s">
        <v>113</v>
      </c>
      <c r="E79" s="6">
        <v>3533</v>
      </c>
      <c r="F79" s="46"/>
      <c r="G79" s="46"/>
      <c r="H79" s="46">
        <f>E79/2</f>
        <v>1766.5</v>
      </c>
      <c r="I79" s="8">
        <v>45421</v>
      </c>
    </row>
    <row r="80" spans="1:9" ht="13" x14ac:dyDescent="0.15">
      <c r="A80" s="105"/>
      <c r="B80" s="105"/>
      <c r="C80" s="70">
        <v>45421</v>
      </c>
      <c r="D80" s="6" t="s">
        <v>114</v>
      </c>
      <c r="E80" s="6">
        <v>25000</v>
      </c>
      <c r="F80" s="46"/>
      <c r="G80" s="46"/>
      <c r="H80" s="46">
        <f t="shared" ref="H80:H81" si="12">E80*0.5</f>
        <v>12500</v>
      </c>
      <c r="I80" s="8">
        <v>45449</v>
      </c>
    </row>
    <row r="81" spans="1:29" ht="13" x14ac:dyDescent="0.15">
      <c r="A81" s="105"/>
      <c r="B81" s="105"/>
      <c r="C81" s="70">
        <v>45586</v>
      </c>
      <c r="D81" s="6" t="s">
        <v>115</v>
      </c>
      <c r="E81" s="6">
        <v>4000</v>
      </c>
      <c r="F81" s="46"/>
      <c r="G81" s="46"/>
      <c r="H81" s="46">
        <f t="shared" si="12"/>
        <v>2000</v>
      </c>
      <c r="I81" s="8">
        <v>45606</v>
      </c>
    </row>
    <row r="82" spans="1:29" ht="13" x14ac:dyDescent="0.15">
      <c r="A82" s="97"/>
      <c r="B82" s="97"/>
      <c r="C82" s="70">
        <v>45586</v>
      </c>
      <c r="D82" s="46" t="s">
        <v>116</v>
      </c>
      <c r="E82" s="6">
        <v>9551</v>
      </c>
      <c r="F82" s="46">
        <v>3559</v>
      </c>
      <c r="G82" s="46"/>
      <c r="H82" s="46">
        <f>E82*0.5+F82</f>
        <v>8334.5</v>
      </c>
      <c r="I82" s="8">
        <v>45606</v>
      </c>
    </row>
    <row r="83" spans="1:29" ht="13" x14ac:dyDescent="0.15">
      <c r="A83" s="107" t="s">
        <v>13</v>
      </c>
      <c r="B83" s="104">
        <v>44602</v>
      </c>
      <c r="C83" s="106">
        <v>45121</v>
      </c>
      <c r="D83" s="6" t="s">
        <v>66</v>
      </c>
      <c r="E83" s="6">
        <v>3825</v>
      </c>
      <c r="F83" s="46"/>
      <c r="G83" s="46"/>
      <c r="H83" s="46">
        <f t="shared" ref="H83:H84" si="13">E83*0.4</f>
        <v>1530</v>
      </c>
      <c r="I83" s="8">
        <v>45179</v>
      </c>
    </row>
    <row r="84" spans="1:29" ht="13" x14ac:dyDescent="0.15">
      <c r="A84" s="105"/>
      <c r="B84" s="105"/>
      <c r="C84" s="97"/>
      <c r="D84" s="6" t="s">
        <v>117</v>
      </c>
      <c r="E84" s="6">
        <v>3600</v>
      </c>
      <c r="F84" s="46"/>
      <c r="G84" s="46"/>
      <c r="H84" s="46">
        <f t="shared" si="13"/>
        <v>1440</v>
      </c>
      <c r="I84" s="8">
        <v>45179</v>
      </c>
    </row>
    <row r="85" spans="1:29" ht="13" x14ac:dyDescent="0.15">
      <c r="A85" s="105"/>
      <c r="B85" s="105"/>
      <c r="C85" s="45">
        <v>45467</v>
      </c>
      <c r="D85" s="46" t="s">
        <v>62</v>
      </c>
      <c r="E85" s="46">
        <v>3600</v>
      </c>
      <c r="F85" s="46">
        <v>2010</v>
      </c>
      <c r="G85" s="46"/>
      <c r="H85" s="46">
        <f>E85*0.5+2010</f>
        <v>3810</v>
      </c>
      <c r="I85" s="8">
        <v>45514</v>
      </c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</row>
    <row r="86" spans="1:29" ht="13" x14ac:dyDescent="0.15">
      <c r="A86" s="97"/>
      <c r="B86" s="97"/>
      <c r="C86" s="62">
        <v>45804</v>
      </c>
      <c r="D86" s="37" t="s">
        <v>71</v>
      </c>
      <c r="E86" s="63">
        <v>2560</v>
      </c>
      <c r="F86" s="64">
        <v>285</v>
      </c>
      <c r="G86" s="64"/>
      <c r="H86" s="65">
        <f>E86*0.5+F86</f>
        <v>1565</v>
      </c>
      <c r="I86" s="66">
        <v>45818</v>
      </c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</row>
    <row r="87" spans="1:29" ht="13" x14ac:dyDescent="0.15">
      <c r="A87" s="72" t="s">
        <v>35</v>
      </c>
      <c r="B87" s="73">
        <v>44606</v>
      </c>
      <c r="C87" s="55">
        <v>45121</v>
      </c>
      <c r="D87" s="56" t="s">
        <v>64</v>
      </c>
      <c r="E87" s="56">
        <v>3400</v>
      </c>
      <c r="F87" s="56"/>
      <c r="G87" s="56"/>
      <c r="H87" s="56">
        <f>E87*0.4</f>
        <v>1360</v>
      </c>
      <c r="I87" s="4">
        <v>45179</v>
      </c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</row>
    <row r="88" spans="1:29" ht="13" x14ac:dyDescent="0.15">
      <c r="A88" s="74" t="s">
        <v>38</v>
      </c>
      <c r="B88" s="54">
        <v>44732</v>
      </c>
      <c r="C88" s="45"/>
      <c r="D88" s="6"/>
      <c r="E88" s="46"/>
      <c r="F88" s="46"/>
      <c r="G88" s="46"/>
      <c r="H88" s="46"/>
      <c r="I88" s="6"/>
    </row>
    <row r="89" spans="1:29" ht="13" x14ac:dyDescent="0.15">
      <c r="A89" s="50" t="s">
        <v>0</v>
      </c>
      <c r="B89" s="44">
        <v>44774</v>
      </c>
      <c r="C89" s="45">
        <v>45474</v>
      </c>
      <c r="D89" s="46" t="s">
        <v>118</v>
      </c>
      <c r="E89" s="46">
        <v>700</v>
      </c>
      <c r="F89" s="46">
        <v>1580</v>
      </c>
      <c r="G89" s="46"/>
      <c r="H89" s="46">
        <f>E89*0.5+1580</f>
        <v>1930</v>
      </c>
      <c r="I89" s="8">
        <v>45483</v>
      </c>
    </row>
    <row r="90" spans="1:29" ht="13" x14ac:dyDescent="0.15">
      <c r="A90" s="110" t="s">
        <v>3</v>
      </c>
      <c r="B90" s="122">
        <v>44971</v>
      </c>
      <c r="C90" s="45">
        <v>45531</v>
      </c>
      <c r="D90" s="46" t="s">
        <v>112</v>
      </c>
      <c r="E90" s="46">
        <v>7480</v>
      </c>
      <c r="F90" s="46">
        <v>4200</v>
      </c>
      <c r="G90" s="46"/>
      <c r="H90" s="46">
        <f>E90*0.5+4200</f>
        <v>7940</v>
      </c>
      <c r="I90" s="8">
        <v>45544</v>
      </c>
    </row>
    <row r="91" spans="1:29" ht="13" x14ac:dyDescent="0.15">
      <c r="A91" s="105"/>
      <c r="B91" s="105"/>
      <c r="C91" s="45">
        <v>45586</v>
      </c>
      <c r="D91" s="46" t="s">
        <v>116</v>
      </c>
      <c r="E91" s="46">
        <v>8500</v>
      </c>
      <c r="F91" s="46">
        <v>4125</v>
      </c>
      <c r="G91" s="46"/>
      <c r="H91" s="46">
        <f>E91*0.5+F91</f>
        <v>8375</v>
      </c>
      <c r="I91" s="8">
        <v>45636</v>
      </c>
    </row>
    <row r="92" spans="1:29" ht="13" x14ac:dyDescent="0.15">
      <c r="A92" s="105"/>
      <c r="B92" s="105"/>
      <c r="C92" s="45">
        <v>45733</v>
      </c>
      <c r="D92" s="46" t="s">
        <v>119</v>
      </c>
      <c r="E92" s="46">
        <v>2500</v>
      </c>
      <c r="F92" s="46"/>
      <c r="G92" s="46"/>
      <c r="H92" s="46">
        <f t="shared" ref="H92:H93" si="14">E92*0.5</f>
        <v>1250</v>
      </c>
      <c r="I92" s="8">
        <v>45757</v>
      </c>
    </row>
    <row r="93" spans="1:29" ht="13" x14ac:dyDescent="0.15">
      <c r="A93" s="105"/>
      <c r="B93" s="105"/>
      <c r="C93" s="45">
        <v>45768</v>
      </c>
      <c r="D93" s="46" t="s">
        <v>120</v>
      </c>
      <c r="E93" s="46">
        <v>2500</v>
      </c>
      <c r="F93" s="46"/>
      <c r="G93" s="46"/>
      <c r="H93" s="46">
        <f t="shared" si="14"/>
        <v>1250</v>
      </c>
      <c r="I93" s="8">
        <v>45779</v>
      </c>
    </row>
    <row r="94" spans="1:29" ht="13" x14ac:dyDescent="0.15">
      <c r="A94" s="74" t="s">
        <v>16</v>
      </c>
      <c r="B94" s="54">
        <v>44986</v>
      </c>
      <c r="C94" s="45">
        <v>45462</v>
      </c>
      <c r="D94" s="46" t="s">
        <v>62</v>
      </c>
      <c r="E94" s="46">
        <v>3600</v>
      </c>
      <c r="F94" s="46">
        <v>2010</v>
      </c>
      <c r="G94" s="46"/>
      <c r="H94" s="46">
        <f>E94*0.5+2010</f>
        <v>3810</v>
      </c>
      <c r="I94" s="8">
        <v>45514</v>
      </c>
    </row>
    <row r="95" spans="1:29" ht="13" x14ac:dyDescent="0.15">
      <c r="A95" s="110" t="s">
        <v>17</v>
      </c>
      <c r="B95" s="104">
        <v>45022</v>
      </c>
      <c r="C95" s="45">
        <v>45562</v>
      </c>
      <c r="D95" s="43" t="s">
        <v>121</v>
      </c>
      <c r="E95" s="46">
        <v>150</v>
      </c>
      <c r="F95" s="46">
        <v>1400</v>
      </c>
      <c r="G95" s="46"/>
      <c r="H95" s="46">
        <v>1475</v>
      </c>
      <c r="I95" s="8">
        <v>45574</v>
      </c>
    </row>
    <row r="96" spans="1:29" ht="13" x14ac:dyDescent="0.15">
      <c r="A96" s="105"/>
      <c r="B96" s="105"/>
      <c r="C96" s="75">
        <v>45680</v>
      </c>
      <c r="D96" s="6" t="s">
        <v>114</v>
      </c>
      <c r="E96" s="46">
        <v>150</v>
      </c>
      <c r="F96" s="46">
        <v>1400</v>
      </c>
      <c r="G96" s="46"/>
      <c r="H96" s="46">
        <f>E96*0.5+F96</f>
        <v>1475</v>
      </c>
      <c r="I96" s="8">
        <v>45696</v>
      </c>
    </row>
    <row r="97" spans="1:9" ht="13" x14ac:dyDescent="0.15">
      <c r="A97" s="105"/>
      <c r="B97" s="105"/>
      <c r="C97" s="75">
        <v>45938</v>
      </c>
      <c r="D97" s="6" t="s">
        <v>122</v>
      </c>
      <c r="E97" s="46"/>
      <c r="F97" s="46">
        <f>1450+315</f>
        <v>1765</v>
      </c>
      <c r="G97" s="46"/>
      <c r="H97" s="46">
        <v>1765</v>
      </c>
      <c r="I97" s="8">
        <v>45971</v>
      </c>
    </row>
    <row r="98" spans="1:9" ht="13" x14ac:dyDescent="0.15">
      <c r="A98" s="105"/>
      <c r="B98" s="105"/>
      <c r="C98" s="75">
        <v>45938</v>
      </c>
      <c r="D98" s="6" t="s">
        <v>123</v>
      </c>
      <c r="E98" s="46"/>
      <c r="F98" s="46">
        <v>2230</v>
      </c>
      <c r="G98" s="46"/>
      <c r="H98" s="46">
        <v>2230</v>
      </c>
      <c r="I98" s="8">
        <v>45971</v>
      </c>
    </row>
    <row r="99" spans="1:9" ht="13" x14ac:dyDescent="0.15">
      <c r="A99" s="97"/>
      <c r="B99" s="97"/>
      <c r="C99" s="76"/>
      <c r="D99" s="58"/>
      <c r="E99" s="77"/>
      <c r="F99" s="77"/>
      <c r="G99" s="77"/>
      <c r="H99" s="77"/>
      <c r="I99" s="9"/>
    </row>
    <row r="100" spans="1:9" ht="13" x14ac:dyDescent="0.15">
      <c r="A100" s="111" t="s">
        <v>42</v>
      </c>
      <c r="B100" s="112">
        <v>45103</v>
      </c>
      <c r="C100" s="78">
        <v>45475</v>
      </c>
      <c r="D100" s="56" t="s">
        <v>124</v>
      </c>
      <c r="E100" s="56">
        <v>1999</v>
      </c>
      <c r="F100" s="56"/>
      <c r="G100" s="56"/>
      <c r="H100" s="56">
        <f t="shared" ref="H100:H101" si="15">E100*0.5</f>
        <v>999.5</v>
      </c>
      <c r="I100" s="4">
        <v>45514</v>
      </c>
    </row>
    <row r="101" spans="1:9" ht="13" x14ac:dyDescent="0.15">
      <c r="A101" s="97"/>
      <c r="B101" s="97"/>
      <c r="C101" s="79">
        <v>45558</v>
      </c>
      <c r="D101" s="56" t="s">
        <v>125</v>
      </c>
      <c r="E101" s="56">
        <v>4500</v>
      </c>
      <c r="F101" s="56"/>
      <c r="G101" s="56"/>
      <c r="H101" s="56">
        <f t="shared" si="15"/>
        <v>2250</v>
      </c>
      <c r="I101" s="4">
        <v>45574</v>
      </c>
    </row>
    <row r="102" spans="1:9" ht="13" x14ac:dyDescent="0.15">
      <c r="A102" s="74" t="s">
        <v>36</v>
      </c>
      <c r="B102" s="54">
        <v>45103</v>
      </c>
      <c r="C102" s="45"/>
      <c r="D102" s="46"/>
      <c r="E102" s="46"/>
      <c r="F102" s="46"/>
      <c r="G102" s="46"/>
      <c r="H102" s="46">
        <f t="shared" ref="H102:H104" si="16">E102*0.4</f>
        <v>0</v>
      </c>
      <c r="I102" s="6"/>
    </row>
    <row r="103" spans="1:9" ht="13" x14ac:dyDescent="0.15">
      <c r="A103" s="80" t="s">
        <v>6</v>
      </c>
      <c r="B103" s="54">
        <v>45117</v>
      </c>
      <c r="C103" s="60"/>
      <c r="D103" s="6"/>
      <c r="E103" s="6"/>
      <c r="F103" s="46"/>
      <c r="G103" s="46"/>
      <c r="H103" s="46">
        <f t="shared" si="16"/>
        <v>0</v>
      </c>
      <c r="I103" s="6"/>
    </row>
    <row r="104" spans="1:9" ht="13" x14ac:dyDescent="0.15">
      <c r="A104" s="80" t="s">
        <v>52</v>
      </c>
      <c r="B104" s="54">
        <v>45124</v>
      </c>
      <c r="C104" s="60"/>
      <c r="D104" s="6"/>
      <c r="E104" s="6"/>
      <c r="F104" s="46"/>
      <c r="G104" s="46"/>
      <c r="H104" s="46">
        <f t="shared" si="16"/>
        <v>0</v>
      </c>
      <c r="I104" s="6"/>
    </row>
    <row r="105" spans="1:9" ht="13" x14ac:dyDescent="0.15">
      <c r="A105" s="118" t="s">
        <v>4</v>
      </c>
      <c r="B105" s="104">
        <v>45166</v>
      </c>
      <c r="C105" s="60">
        <v>45562</v>
      </c>
      <c r="D105" s="43" t="s">
        <v>126</v>
      </c>
      <c r="E105" s="6">
        <v>150</v>
      </c>
      <c r="F105" s="46">
        <v>1085</v>
      </c>
      <c r="G105" s="46"/>
      <c r="H105" s="46">
        <f t="shared" ref="H105:H106" si="17">E105*0.5+F105</f>
        <v>1160</v>
      </c>
      <c r="I105" s="8">
        <v>45574</v>
      </c>
    </row>
    <row r="106" spans="1:9" ht="13" x14ac:dyDescent="0.15">
      <c r="A106" s="105"/>
      <c r="B106" s="105"/>
      <c r="C106" s="60">
        <v>45680</v>
      </c>
      <c r="D106" s="6" t="s">
        <v>114</v>
      </c>
      <c r="E106" s="6">
        <v>150</v>
      </c>
      <c r="F106" s="46">
        <v>1400</v>
      </c>
      <c r="G106" s="46"/>
      <c r="H106" s="46">
        <f t="shared" si="17"/>
        <v>1475</v>
      </c>
      <c r="I106" s="8">
        <v>45696</v>
      </c>
    </row>
    <row r="107" spans="1:9" ht="13" x14ac:dyDescent="0.15">
      <c r="A107" s="105"/>
      <c r="B107" s="105"/>
      <c r="C107" s="62">
        <v>45897</v>
      </c>
      <c r="D107" s="37" t="s">
        <v>127</v>
      </c>
      <c r="E107" s="37"/>
      <c r="F107" s="65">
        <v>1400</v>
      </c>
      <c r="G107" s="37"/>
      <c r="H107" s="65">
        <v>1400</v>
      </c>
      <c r="I107" s="66">
        <v>45910</v>
      </c>
    </row>
    <row r="108" spans="1:9" ht="13" x14ac:dyDescent="0.15">
      <c r="A108" s="97"/>
      <c r="B108" s="97"/>
      <c r="C108" s="62">
        <v>45932</v>
      </c>
      <c r="D108" s="46" t="s">
        <v>128</v>
      </c>
      <c r="E108" s="37"/>
      <c r="F108" s="65">
        <v>1776</v>
      </c>
      <c r="G108" s="37"/>
      <c r="H108" s="65">
        <v>1776</v>
      </c>
      <c r="I108" s="8">
        <v>45940</v>
      </c>
    </row>
    <row r="109" spans="1:9" ht="13" x14ac:dyDescent="0.15">
      <c r="A109" s="118" t="s">
        <v>33</v>
      </c>
      <c r="B109" s="104">
        <v>45170</v>
      </c>
      <c r="C109" s="70">
        <v>45558</v>
      </c>
      <c r="D109" s="6" t="s">
        <v>129</v>
      </c>
      <c r="E109" s="81">
        <v>14500</v>
      </c>
      <c r="F109" s="82">
        <v>1400</v>
      </c>
      <c r="G109" s="82"/>
      <c r="H109" s="82">
        <v>8650</v>
      </c>
      <c r="I109" s="8">
        <v>45574</v>
      </c>
    </row>
    <row r="110" spans="1:9" ht="13" x14ac:dyDescent="0.15">
      <c r="A110" s="97"/>
      <c r="B110" s="97"/>
      <c r="C110" s="60"/>
      <c r="D110" s="6"/>
      <c r="E110" s="6"/>
      <c r="F110" s="46"/>
      <c r="G110" s="46"/>
      <c r="H110" s="46"/>
      <c r="I110" s="6"/>
    </row>
    <row r="111" spans="1:9" ht="13" x14ac:dyDescent="0.15">
      <c r="A111" s="83" t="s">
        <v>22</v>
      </c>
      <c r="B111" s="84">
        <v>45176</v>
      </c>
      <c r="C111" s="85">
        <v>45562</v>
      </c>
      <c r="D111" s="86" t="s">
        <v>130</v>
      </c>
      <c r="E111" s="56">
        <v>150</v>
      </c>
      <c r="F111" s="56">
        <v>1400</v>
      </c>
      <c r="G111" s="56"/>
      <c r="H111" s="56">
        <f>(E111*0.5)+F111</f>
        <v>1475</v>
      </c>
      <c r="I111" s="4">
        <v>45574</v>
      </c>
    </row>
    <row r="112" spans="1:9" ht="13" x14ac:dyDescent="0.15">
      <c r="A112" s="80" t="s">
        <v>131</v>
      </c>
      <c r="B112" s="54">
        <v>45201</v>
      </c>
      <c r="C112" s="62">
        <v>45804</v>
      </c>
      <c r="D112" s="37" t="s">
        <v>71</v>
      </c>
      <c r="E112" s="63">
        <v>2560</v>
      </c>
      <c r="F112" s="64">
        <f>338+375</f>
        <v>713</v>
      </c>
      <c r="G112" s="64"/>
      <c r="H112" s="65">
        <f t="shared" ref="H112:H113" si="18">E112*0.5+F112</f>
        <v>1993</v>
      </c>
      <c r="I112" s="66">
        <v>45818</v>
      </c>
    </row>
    <row r="113" spans="1:9" ht="13" x14ac:dyDescent="0.15">
      <c r="A113" s="87" t="s">
        <v>11</v>
      </c>
      <c r="B113" s="69">
        <v>45264</v>
      </c>
      <c r="C113" s="62">
        <v>45804</v>
      </c>
      <c r="D113" s="37" t="s">
        <v>71</v>
      </c>
      <c r="E113" s="63">
        <v>2560</v>
      </c>
      <c r="F113" s="64">
        <f>285+285</f>
        <v>570</v>
      </c>
      <c r="G113" s="64"/>
      <c r="H113" s="65">
        <f t="shared" si="18"/>
        <v>1850</v>
      </c>
      <c r="I113" s="66">
        <v>45818</v>
      </c>
    </row>
    <row r="114" spans="1:9" ht="13" x14ac:dyDescent="0.15">
      <c r="A114" s="81" t="s">
        <v>14</v>
      </c>
      <c r="B114" s="54">
        <v>45383</v>
      </c>
      <c r="C114" s="60"/>
      <c r="D114" s="6"/>
      <c r="E114" s="6"/>
      <c r="F114" s="46"/>
      <c r="G114" s="46"/>
      <c r="H114" s="46"/>
      <c r="I114" s="6"/>
    </row>
    <row r="115" spans="1:9" ht="13" x14ac:dyDescent="0.15">
      <c r="A115" s="10" t="s">
        <v>43</v>
      </c>
      <c r="B115" s="44">
        <v>45383</v>
      </c>
      <c r="C115" s="70">
        <v>45799</v>
      </c>
      <c r="D115" s="6" t="s">
        <v>132</v>
      </c>
      <c r="E115" s="6">
        <v>3300</v>
      </c>
      <c r="F115" s="46"/>
      <c r="G115" s="46"/>
      <c r="H115" s="46">
        <f>E115*0.5</f>
        <v>1650</v>
      </c>
      <c r="I115" s="8">
        <v>45818</v>
      </c>
    </row>
    <row r="116" spans="1:9" ht="13" x14ac:dyDescent="0.15">
      <c r="A116" s="87" t="s">
        <v>18</v>
      </c>
      <c r="B116" s="69">
        <v>45505</v>
      </c>
      <c r="C116" s="60"/>
      <c r="D116" s="6"/>
      <c r="E116" s="6"/>
      <c r="F116" s="6"/>
      <c r="G116" s="6"/>
      <c r="H116" s="6"/>
      <c r="I116" s="6"/>
    </row>
    <row r="117" spans="1:9" ht="13" x14ac:dyDescent="0.15">
      <c r="A117" s="119" t="s">
        <v>5</v>
      </c>
      <c r="B117" s="121">
        <v>45536</v>
      </c>
      <c r="C117" s="60">
        <v>45674</v>
      </c>
      <c r="D117" s="6" t="s">
        <v>114</v>
      </c>
      <c r="E117" s="6">
        <v>150</v>
      </c>
      <c r="F117" s="6">
        <v>1260</v>
      </c>
      <c r="G117" s="6"/>
      <c r="H117" s="6">
        <f>E117*0.5+F117</f>
        <v>1335</v>
      </c>
      <c r="I117" s="8">
        <v>45696</v>
      </c>
    </row>
    <row r="118" spans="1:9" ht="13" x14ac:dyDescent="0.15">
      <c r="A118" s="97"/>
      <c r="B118" s="97"/>
      <c r="C118" s="60">
        <v>45895</v>
      </c>
      <c r="D118" s="6" t="s">
        <v>127</v>
      </c>
      <c r="E118" s="6"/>
      <c r="F118" s="6">
        <v>1400</v>
      </c>
      <c r="G118" s="6"/>
      <c r="H118" s="6">
        <v>1400</v>
      </c>
      <c r="I118" s="8">
        <v>45910</v>
      </c>
    </row>
    <row r="119" spans="1:9" ht="13" x14ac:dyDescent="0.15">
      <c r="A119" s="87" t="s">
        <v>26</v>
      </c>
      <c r="B119" s="69">
        <v>45627</v>
      </c>
      <c r="C119" s="60"/>
      <c r="D119" s="6"/>
      <c r="E119" s="6"/>
      <c r="F119" s="6"/>
      <c r="G119" s="6"/>
      <c r="H119" s="6"/>
      <c r="I119" s="6"/>
    </row>
    <row r="120" spans="1:9" ht="13" x14ac:dyDescent="0.15">
      <c r="A120" s="87" t="s">
        <v>40</v>
      </c>
      <c r="B120" s="69">
        <v>45642</v>
      </c>
      <c r="C120" s="60"/>
      <c r="D120" s="6"/>
      <c r="E120" s="6"/>
      <c r="F120" s="6"/>
      <c r="G120" s="6"/>
      <c r="H120" s="6"/>
      <c r="I120" s="6"/>
    </row>
    <row r="121" spans="1:9" ht="13" x14ac:dyDescent="0.15">
      <c r="A121" s="87" t="s">
        <v>30</v>
      </c>
      <c r="B121" s="69">
        <v>45665</v>
      </c>
      <c r="C121" s="60"/>
      <c r="D121" s="6"/>
      <c r="E121" s="6"/>
      <c r="F121" s="6"/>
      <c r="G121" s="6"/>
      <c r="H121" s="6"/>
      <c r="I121" s="6"/>
    </row>
    <row r="122" spans="1:9" ht="13" x14ac:dyDescent="0.15">
      <c r="A122" s="87" t="s">
        <v>34</v>
      </c>
      <c r="B122" s="54">
        <v>45733</v>
      </c>
      <c r="C122" s="60">
        <v>45888</v>
      </c>
      <c r="D122" s="6" t="s">
        <v>133</v>
      </c>
      <c r="E122" s="6">
        <v>1586</v>
      </c>
      <c r="F122" s="6">
        <v>4035</v>
      </c>
      <c r="G122" s="6"/>
      <c r="H122" s="6">
        <f>E122*0.5+F122</f>
        <v>4828</v>
      </c>
      <c r="I122" s="8">
        <v>45910</v>
      </c>
    </row>
    <row r="123" spans="1:9" ht="13" x14ac:dyDescent="0.15">
      <c r="A123" s="120" t="s">
        <v>39</v>
      </c>
      <c r="B123" s="104">
        <v>45733</v>
      </c>
      <c r="C123" s="60">
        <v>45938</v>
      </c>
      <c r="D123" s="6" t="s">
        <v>134</v>
      </c>
      <c r="E123" s="6"/>
      <c r="F123" s="6">
        <v>1400</v>
      </c>
      <c r="G123" s="6"/>
      <c r="H123" s="6">
        <v>1400</v>
      </c>
      <c r="I123" s="8">
        <v>45971</v>
      </c>
    </row>
    <row r="124" spans="1:9" ht="13" x14ac:dyDescent="0.15">
      <c r="A124" s="97"/>
      <c r="B124" s="97"/>
      <c r="C124" s="60">
        <v>45938</v>
      </c>
      <c r="D124" s="6" t="s">
        <v>135</v>
      </c>
      <c r="E124" s="6"/>
      <c r="F124" s="6">
        <v>1450</v>
      </c>
      <c r="G124" s="6"/>
      <c r="H124" s="6">
        <v>1450</v>
      </c>
      <c r="I124" s="8">
        <v>45971</v>
      </c>
    </row>
    <row r="125" spans="1:9" ht="13" x14ac:dyDescent="0.15">
      <c r="A125" s="87" t="s">
        <v>44</v>
      </c>
      <c r="B125" s="54">
        <v>45810</v>
      </c>
      <c r="C125" s="60"/>
      <c r="D125" s="6"/>
      <c r="E125" s="6"/>
      <c r="F125" s="6"/>
      <c r="G125" s="6"/>
      <c r="H125" s="6"/>
      <c r="I125" s="6"/>
    </row>
    <row r="126" spans="1:9" ht="13" x14ac:dyDescent="0.15">
      <c r="A126" s="87" t="s">
        <v>41</v>
      </c>
      <c r="B126" s="54">
        <v>45810</v>
      </c>
      <c r="C126" s="60"/>
      <c r="D126" s="6"/>
      <c r="E126" s="6"/>
      <c r="F126" s="6"/>
      <c r="G126" s="6"/>
      <c r="H126" s="6"/>
      <c r="I126" s="6"/>
    </row>
    <row r="127" spans="1:9" ht="13" x14ac:dyDescent="0.15">
      <c r="A127" s="87" t="s">
        <v>19</v>
      </c>
      <c r="B127" s="54">
        <v>45839</v>
      </c>
      <c r="C127" s="60"/>
      <c r="D127" s="6"/>
      <c r="E127" s="6"/>
      <c r="F127" s="6"/>
      <c r="G127" s="6"/>
      <c r="H127" s="6"/>
      <c r="I127" s="6"/>
    </row>
    <row r="128" spans="1:9" ht="13" x14ac:dyDescent="0.15">
      <c r="A128" s="88" t="s">
        <v>31</v>
      </c>
      <c r="B128" s="54">
        <v>45839</v>
      </c>
      <c r="C128" s="60"/>
      <c r="D128" s="6"/>
      <c r="E128" s="6"/>
      <c r="F128" s="6"/>
      <c r="G128" s="6"/>
      <c r="H128" s="6"/>
      <c r="I128" s="6"/>
    </row>
    <row r="129" spans="1:9" ht="13" x14ac:dyDescent="0.15">
      <c r="A129" s="88" t="s">
        <v>7</v>
      </c>
      <c r="B129" s="54">
        <v>45870</v>
      </c>
      <c r="C129" s="60"/>
      <c r="D129" s="6"/>
      <c r="E129" s="6"/>
      <c r="F129" s="6"/>
      <c r="G129" s="6"/>
      <c r="H129" s="6"/>
      <c r="I129" s="6"/>
    </row>
    <row r="130" spans="1:9" ht="13" x14ac:dyDescent="0.15">
      <c r="A130" s="88" t="s">
        <v>20</v>
      </c>
      <c r="B130" s="54">
        <v>45875</v>
      </c>
      <c r="C130" s="60"/>
      <c r="D130" s="6"/>
      <c r="E130" s="6"/>
      <c r="F130" s="6"/>
      <c r="G130" s="6"/>
      <c r="H130" s="6"/>
      <c r="I130" s="6"/>
    </row>
    <row r="131" spans="1:9" ht="13" x14ac:dyDescent="0.15">
      <c r="A131" s="81" t="s">
        <v>27</v>
      </c>
      <c r="B131" s="54">
        <v>45981</v>
      </c>
      <c r="C131" s="60"/>
      <c r="D131" s="6"/>
      <c r="E131" s="6"/>
      <c r="F131" s="6"/>
      <c r="G131" s="6"/>
      <c r="H131" s="6"/>
      <c r="I131" s="6"/>
    </row>
    <row r="132" spans="1:9" ht="13" x14ac:dyDescent="0.15">
      <c r="A132" s="89"/>
      <c r="B132" s="90"/>
      <c r="C132" s="91"/>
    </row>
    <row r="133" spans="1:9" ht="13" x14ac:dyDescent="0.15">
      <c r="A133" s="89"/>
      <c r="B133" s="89"/>
      <c r="C133" s="91"/>
    </row>
    <row r="134" spans="1:9" ht="13" x14ac:dyDescent="0.15">
      <c r="A134" s="89"/>
      <c r="B134" s="89"/>
      <c r="C134" s="91"/>
    </row>
    <row r="135" spans="1:9" ht="13" x14ac:dyDescent="0.15">
      <c r="A135" s="89"/>
      <c r="B135" s="89"/>
      <c r="C135" s="91"/>
    </row>
    <row r="136" spans="1:9" ht="13" x14ac:dyDescent="0.15">
      <c r="A136" s="89"/>
      <c r="B136" s="89"/>
      <c r="C136" s="91"/>
    </row>
    <row r="137" spans="1:9" ht="13" x14ac:dyDescent="0.15">
      <c r="A137" s="89"/>
      <c r="B137" s="89"/>
      <c r="C137" s="91"/>
    </row>
    <row r="138" spans="1:9" ht="13" x14ac:dyDescent="0.15">
      <c r="A138" s="89"/>
      <c r="B138" s="89"/>
      <c r="C138" s="91"/>
    </row>
    <row r="139" spans="1:9" ht="13" x14ac:dyDescent="0.15">
      <c r="A139" s="89"/>
      <c r="B139" s="89"/>
      <c r="C139" s="91"/>
    </row>
    <row r="140" spans="1:9" ht="13" x14ac:dyDescent="0.15">
      <c r="A140" s="89"/>
      <c r="B140" s="89"/>
      <c r="C140" s="91"/>
    </row>
    <row r="141" spans="1:9" ht="13" x14ac:dyDescent="0.15">
      <c r="A141" s="89"/>
      <c r="B141" s="89"/>
      <c r="C141" s="91"/>
    </row>
    <row r="142" spans="1:9" ht="13" x14ac:dyDescent="0.15">
      <c r="A142" s="89"/>
      <c r="B142" s="89"/>
      <c r="C142" s="91"/>
    </row>
    <row r="143" spans="1:9" ht="13" x14ac:dyDescent="0.15">
      <c r="A143" s="89"/>
      <c r="B143" s="89"/>
      <c r="C143" s="91"/>
    </row>
    <row r="144" spans="1:9" ht="13" x14ac:dyDescent="0.15">
      <c r="A144" s="89"/>
      <c r="B144" s="89"/>
      <c r="C144" s="91"/>
    </row>
    <row r="145" spans="1:3" ht="13" x14ac:dyDescent="0.15">
      <c r="A145" s="89"/>
      <c r="B145" s="89"/>
      <c r="C145" s="91"/>
    </row>
    <row r="146" spans="1:3" ht="13" x14ac:dyDescent="0.15">
      <c r="A146" s="89"/>
      <c r="B146" s="89"/>
      <c r="C146" s="91"/>
    </row>
    <row r="147" spans="1:3" ht="13" x14ac:dyDescent="0.15">
      <c r="A147" s="89"/>
      <c r="B147" s="89"/>
      <c r="C147" s="91"/>
    </row>
    <row r="148" spans="1:3" ht="13" x14ac:dyDescent="0.15">
      <c r="A148" s="89"/>
      <c r="B148" s="89"/>
      <c r="C148" s="91"/>
    </row>
    <row r="149" spans="1:3" ht="13" x14ac:dyDescent="0.15">
      <c r="A149" s="89"/>
      <c r="B149" s="89"/>
      <c r="C149" s="91"/>
    </row>
    <row r="150" spans="1:3" ht="13" x14ac:dyDescent="0.15">
      <c r="A150" s="89"/>
      <c r="B150" s="89"/>
      <c r="C150" s="91"/>
    </row>
    <row r="151" spans="1:3" ht="13" x14ac:dyDescent="0.15">
      <c r="A151" s="89"/>
      <c r="B151" s="89"/>
      <c r="C151" s="91"/>
    </row>
    <row r="152" spans="1:3" ht="13" x14ac:dyDescent="0.15">
      <c r="A152" s="89"/>
      <c r="B152" s="89"/>
      <c r="C152" s="91"/>
    </row>
    <row r="153" spans="1:3" ht="13" x14ac:dyDescent="0.15">
      <c r="A153" s="89"/>
      <c r="B153" s="89"/>
      <c r="C153" s="91"/>
    </row>
    <row r="154" spans="1:3" ht="13" x14ac:dyDescent="0.15">
      <c r="A154" s="89"/>
      <c r="B154" s="89"/>
      <c r="C154" s="91"/>
    </row>
    <row r="155" spans="1:3" ht="13" x14ac:dyDescent="0.15">
      <c r="A155" s="89"/>
      <c r="B155" s="89"/>
      <c r="C155" s="91"/>
    </row>
    <row r="156" spans="1:3" ht="13" x14ac:dyDescent="0.15">
      <c r="A156" s="89"/>
      <c r="B156" s="89"/>
      <c r="C156" s="91"/>
    </row>
    <row r="157" spans="1:3" ht="13" x14ac:dyDescent="0.15">
      <c r="A157" s="89"/>
      <c r="B157" s="89"/>
      <c r="C157" s="91"/>
    </row>
    <row r="158" spans="1:3" ht="13" x14ac:dyDescent="0.15">
      <c r="A158" s="89"/>
      <c r="B158" s="89"/>
      <c r="C158" s="91"/>
    </row>
    <row r="159" spans="1:3" ht="13" x14ac:dyDescent="0.15">
      <c r="A159" s="89"/>
      <c r="B159" s="89"/>
      <c r="C159" s="91"/>
    </row>
    <row r="160" spans="1:3" ht="13" x14ac:dyDescent="0.15">
      <c r="A160" s="89"/>
      <c r="B160" s="89"/>
      <c r="C160" s="91"/>
    </row>
    <row r="161" spans="1:3" ht="13" x14ac:dyDescent="0.15">
      <c r="A161" s="89"/>
      <c r="B161" s="89"/>
      <c r="C161" s="91"/>
    </row>
    <row r="162" spans="1:3" ht="13" x14ac:dyDescent="0.15">
      <c r="A162" s="89"/>
      <c r="B162" s="89"/>
      <c r="C162" s="91"/>
    </row>
    <row r="163" spans="1:3" ht="13" x14ac:dyDescent="0.15">
      <c r="A163" s="89"/>
      <c r="B163" s="89"/>
      <c r="C163" s="91"/>
    </row>
    <row r="164" spans="1:3" ht="13" x14ac:dyDescent="0.15">
      <c r="A164" s="89"/>
      <c r="B164" s="89"/>
      <c r="C164" s="91"/>
    </row>
    <row r="165" spans="1:3" ht="13" x14ac:dyDescent="0.15">
      <c r="A165" s="89"/>
      <c r="B165" s="89"/>
      <c r="C165" s="91"/>
    </row>
    <row r="166" spans="1:3" ht="13" x14ac:dyDescent="0.15">
      <c r="A166" s="89"/>
      <c r="B166" s="89"/>
      <c r="C166" s="91"/>
    </row>
    <row r="167" spans="1:3" ht="13" x14ac:dyDescent="0.15">
      <c r="A167" s="89"/>
      <c r="B167" s="89"/>
      <c r="C167" s="91"/>
    </row>
    <row r="168" spans="1:3" ht="13" x14ac:dyDescent="0.15">
      <c r="A168" s="89"/>
      <c r="B168" s="89"/>
      <c r="C168" s="91"/>
    </row>
    <row r="169" spans="1:3" ht="13" x14ac:dyDescent="0.15">
      <c r="A169" s="89"/>
      <c r="B169" s="89"/>
      <c r="C169" s="91"/>
    </row>
    <row r="170" spans="1:3" ht="13" x14ac:dyDescent="0.15">
      <c r="A170" s="89"/>
      <c r="B170" s="89"/>
      <c r="C170" s="91"/>
    </row>
    <row r="171" spans="1:3" ht="13" x14ac:dyDescent="0.15">
      <c r="A171" s="89"/>
      <c r="B171" s="89"/>
      <c r="C171" s="91"/>
    </row>
    <row r="172" spans="1:3" ht="13" x14ac:dyDescent="0.15">
      <c r="A172" s="89"/>
      <c r="B172" s="89"/>
      <c r="C172" s="91"/>
    </row>
    <row r="173" spans="1:3" ht="13" x14ac:dyDescent="0.15">
      <c r="A173" s="89"/>
      <c r="B173" s="89"/>
      <c r="C173" s="91"/>
    </row>
    <row r="174" spans="1:3" ht="13" x14ac:dyDescent="0.15">
      <c r="A174" s="89"/>
      <c r="B174" s="89"/>
      <c r="C174" s="91"/>
    </row>
    <row r="175" spans="1:3" ht="13" x14ac:dyDescent="0.15">
      <c r="A175" s="89"/>
      <c r="B175" s="89"/>
      <c r="C175" s="91"/>
    </row>
    <row r="176" spans="1:3" ht="13" x14ac:dyDescent="0.15">
      <c r="A176" s="89"/>
      <c r="B176" s="89"/>
      <c r="C176" s="91"/>
    </row>
    <row r="177" spans="1:3" ht="13" x14ac:dyDescent="0.15">
      <c r="A177" s="89"/>
      <c r="B177" s="89"/>
      <c r="C177" s="91"/>
    </row>
    <row r="178" spans="1:3" ht="13" x14ac:dyDescent="0.15">
      <c r="A178" s="89"/>
      <c r="B178" s="89"/>
      <c r="C178" s="91"/>
    </row>
    <row r="179" spans="1:3" ht="13" x14ac:dyDescent="0.15">
      <c r="A179" s="89"/>
      <c r="B179" s="89"/>
      <c r="C179" s="91"/>
    </row>
    <row r="180" spans="1:3" ht="13" x14ac:dyDescent="0.15">
      <c r="A180" s="89"/>
      <c r="B180" s="89"/>
      <c r="C180" s="91"/>
    </row>
    <row r="181" spans="1:3" ht="13" x14ac:dyDescent="0.15">
      <c r="A181" s="89"/>
      <c r="B181" s="89"/>
      <c r="C181" s="91"/>
    </row>
    <row r="182" spans="1:3" ht="13" x14ac:dyDescent="0.15">
      <c r="A182" s="89"/>
      <c r="B182" s="89"/>
      <c r="C182" s="91"/>
    </row>
    <row r="183" spans="1:3" ht="13" x14ac:dyDescent="0.15">
      <c r="A183" s="89"/>
      <c r="B183" s="89"/>
      <c r="C183" s="91"/>
    </row>
    <row r="184" spans="1:3" ht="13" x14ac:dyDescent="0.15">
      <c r="A184" s="89"/>
      <c r="B184" s="89"/>
      <c r="C184" s="91"/>
    </row>
    <row r="185" spans="1:3" ht="13" x14ac:dyDescent="0.15">
      <c r="A185" s="89"/>
      <c r="B185" s="89"/>
      <c r="C185" s="91"/>
    </row>
    <row r="186" spans="1:3" ht="13" x14ac:dyDescent="0.15">
      <c r="A186" s="89"/>
      <c r="B186" s="89"/>
      <c r="C186" s="91"/>
    </row>
    <row r="187" spans="1:3" ht="13" x14ac:dyDescent="0.15">
      <c r="A187" s="89"/>
      <c r="B187" s="89"/>
      <c r="C187" s="91"/>
    </row>
    <row r="188" spans="1:3" ht="13" x14ac:dyDescent="0.15">
      <c r="A188" s="89"/>
      <c r="B188" s="89"/>
      <c r="C188" s="91"/>
    </row>
    <row r="189" spans="1:3" ht="13" x14ac:dyDescent="0.15">
      <c r="A189" s="89"/>
      <c r="B189" s="89"/>
      <c r="C189" s="91"/>
    </row>
    <row r="190" spans="1:3" ht="13" x14ac:dyDescent="0.15">
      <c r="A190" s="89"/>
      <c r="B190" s="89"/>
      <c r="C190" s="91"/>
    </row>
    <row r="191" spans="1:3" ht="13" x14ac:dyDescent="0.15">
      <c r="A191" s="89"/>
      <c r="B191" s="89"/>
      <c r="C191" s="91"/>
    </row>
    <row r="192" spans="1:3" ht="13" x14ac:dyDescent="0.15">
      <c r="A192" s="89"/>
      <c r="B192" s="89"/>
      <c r="C192" s="91"/>
    </row>
    <row r="193" spans="1:3" ht="13" x14ac:dyDescent="0.15">
      <c r="A193" s="89"/>
      <c r="B193" s="89"/>
      <c r="C193" s="91"/>
    </row>
    <row r="194" spans="1:3" ht="13" x14ac:dyDescent="0.15">
      <c r="A194" s="89"/>
      <c r="B194" s="89"/>
      <c r="C194" s="91"/>
    </row>
    <row r="195" spans="1:3" ht="13" x14ac:dyDescent="0.15">
      <c r="A195" s="89"/>
      <c r="B195" s="89"/>
      <c r="C195" s="91"/>
    </row>
    <row r="196" spans="1:3" ht="13" x14ac:dyDescent="0.15">
      <c r="A196" s="89"/>
      <c r="B196" s="89"/>
      <c r="C196" s="91"/>
    </row>
    <row r="197" spans="1:3" ht="13" x14ac:dyDescent="0.15">
      <c r="A197" s="89"/>
      <c r="B197" s="89"/>
      <c r="C197" s="91"/>
    </row>
    <row r="198" spans="1:3" ht="13" x14ac:dyDescent="0.15">
      <c r="A198" s="89"/>
      <c r="B198" s="89"/>
      <c r="C198" s="91"/>
    </row>
    <row r="199" spans="1:3" ht="13" x14ac:dyDescent="0.15">
      <c r="A199" s="89"/>
      <c r="B199" s="89"/>
      <c r="C199" s="91"/>
    </row>
    <row r="200" spans="1:3" ht="13" x14ac:dyDescent="0.15">
      <c r="A200" s="89"/>
      <c r="B200" s="89"/>
      <c r="C200" s="91"/>
    </row>
    <row r="201" spans="1:3" ht="13" x14ac:dyDescent="0.15">
      <c r="A201" s="89"/>
      <c r="B201" s="89"/>
      <c r="C201" s="91"/>
    </row>
    <row r="202" spans="1:3" ht="13" x14ac:dyDescent="0.15">
      <c r="A202" s="89"/>
      <c r="B202" s="89"/>
      <c r="C202" s="91"/>
    </row>
    <row r="203" spans="1:3" ht="13" x14ac:dyDescent="0.15">
      <c r="A203" s="89"/>
      <c r="B203" s="89"/>
      <c r="C203" s="91"/>
    </row>
    <row r="204" spans="1:3" ht="13" x14ac:dyDescent="0.15">
      <c r="A204" s="89"/>
      <c r="B204" s="89"/>
      <c r="C204" s="91"/>
    </row>
    <row r="205" spans="1:3" ht="13" x14ac:dyDescent="0.15">
      <c r="A205" s="89"/>
      <c r="B205" s="89"/>
      <c r="C205" s="91"/>
    </row>
    <row r="206" spans="1:3" ht="13" x14ac:dyDescent="0.15">
      <c r="A206" s="89"/>
      <c r="B206" s="89"/>
      <c r="C206" s="91"/>
    </row>
    <row r="207" spans="1:3" ht="13" x14ac:dyDescent="0.15">
      <c r="A207" s="89"/>
      <c r="B207" s="89"/>
      <c r="C207" s="91"/>
    </row>
    <row r="208" spans="1:3" ht="13" x14ac:dyDescent="0.15">
      <c r="A208" s="89"/>
      <c r="B208" s="89"/>
      <c r="C208" s="91"/>
    </row>
    <row r="209" spans="1:3" ht="13" x14ac:dyDescent="0.15">
      <c r="A209" s="89"/>
      <c r="B209" s="89"/>
      <c r="C209" s="91"/>
    </row>
    <row r="210" spans="1:3" ht="13" x14ac:dyDescent="0.15">
      <c r="A210" s="89"/>
      <c r="B210" s="89"/>
      <c r="C210" s="91"/>
    </row>
    <row r="211" spans="1:3" ht="13" x14ac:dyDescent="0.15">
      <c r="A211" s="89"/>
      <c r="B211" s="89"/>
      <c r="C211" s="91"/>
    </row>
    <row r="212" spans="1:3" ht="13" x14ac:dyDescent="0.15">
      <c r="A212" s="89"/>
      <c r="B212" s="89"/>
      <c r="C212" s="91"/>
    </row>
    <row r="213" spans="1:3" ht="13" x14ac:dyDescent="0.15">
      <c r="A213" s="89"/>
      <c r="B213" s="89"/>
      <c r="C213" s="91"/>
    </row>
    <row r="214" spans="1:3" ht="13" x14ac:dyDescent="0.15">
      <c r="A214" s="89"/>
      <c r="B214" s="89"/>
      <c r="C214" s="91"/>
    </row>
    <row r="215" spans="1:3" ht="13" x14ac:dyDescent="0.15">
      <c r="A215" s="89"/>
      <c r="B215" s="89"/>
      <c r="C215" s="91"/>
    </row>
    <row r="216" spans="1:3" ht="13" x14ac:dyDescent="0.15">
      <c r="A216" s="89"/>
      <c r="B216" s="89"/>
      <c r="C216" s="91"/>
    </row>
    <row r="217" spans="1:3" ht="13" x14ac:dyDescent="0.15">
      <c r="A217" s="89"/>
      <c r="B217" s="89"/>
      <c r="C217" s="91"/>
    </row>
    <row r="218" spans="1:3" ht="13" x14ac:dyDescent="0.15">
      <c r="A218" s="89"/>
      <c r="B218" s="89"/>
      <c r="C218" s="91"/>
    </row>
    <row r="219" spans="1:3" ht="13" x14ac:dyDescent="0.15">
      <c r="A219" s="89"/>
      <c r="B219" s="89"/>
      <c r="C219" s="91"/>
    </row>
    <row r="220" spans="1:3" ht="13" x14ac:dyDescent="0.15">
      <c r="A220" s="89"/>
      <c r="B220" s="89"/>
      <c r="C220" s="91"/>
    </row>
    <row r="221" spans="1:3" ht="13" x14ac:dyDescent="0.15">
      <c r="A221" s="89"/>
      <c r="B221" s="89"/>
      <c r="C221" s="91"/>
    </row>
    <row r="222" spans="1:3" ht="13" x14ac:dyDescent="0.15">
      <c r="A222" s="89"/>
      <c r="B222" s="89"/>
      <c r="C222" s="91"/>
    </row>
    <row r="223" spans="1:3" ht="13" x14ac:dyDescent="0.15">
      <c r="A223" s="89"/>
      <c r="B223" s="89"/>
      <c r="C223" s="91"/>
    </row>
    <row r="224" spans="1:3" ht="13" x14ac:dyDescent="0.15">
      <c r="A224" s="89"/>
      <c r="B224" s="89"/>
      <c r="C224" s="91"/>
    </row>
    <row r="225" spans="1:3" ht="13" x14ac:dyDescent="0.15">
      <c r="A225" s="89"/>
      <c r="B225" s="89"/>
      <c r="C225" s="91"/>
    </row>
    <row r="226" spans="1:3" ht="13" x14ac:dyDescent="0.15">
      <c r="A226" s="89"/>
      <c r="B226" s="89"/>
      <c r="C226" s="91"/>
    </row>
    <row r="227" spans="1:3" ht="13" x14ac:dyDescent="0.15">
      <c r="A227" s="89"/>
      <c r="B227" s="89"/>
      <c r="C227" s="91"/>
    </row>
    <row r="228" spans="1:3" ht="13" x14ac:dyDescent="0.15">
      <c r="A228" s="89"/>
      <c r="B228" s="89"/>
      <c r="C228" s="91"/>
    </row>
    <row r="229" spans="1:3" ht="13" x14ac:dyDescent="0.15">
      <c r="A229" s="89"/>
      <c r="B229" s="89"/>
      <c r="C229" s="91"/>
    </row>
    <row r="230" spans="1:3" ht="13" x14ac:dyDescent="0.15">
      <c r="A230" s="89"/>
      <c r="B230" s="89"/>
      <c r="C230" s="91"/>
    </row>
    <row r="231" spans="1:3" ht="13" x14ac:dyDescent="0.15">
      <c r="A231" s="89"/>
      <c r="B231" s="89"/>
      <c r="C231" s="91"/>
    </row>
    <row r="232" spans="1:3" ht="13" x14ac:dyDescent="0.15">
      <c r="A232" s="89"/>
      <c r="B232" s="89"/>
      <c r="C232" s="91"/>
    </row>
    <row r="233" spans="1:3" ht="13" x14ac:dyDescent="0.15">
      <c r="A233" s="89"/>
      <c r="B233" s="89"/>
      <c r="C233" s="91"/>
    </row>
    <row r="234" spans="1:3" ht="13" x14ac:dyDescent="0.15">
      <c r="A234" s="89"/>
      <c r="B234" s="89"/>
      <c r="C234" s="91"/>
    </row>
    <row r="235" spans="1:3" ht="13" x14ac:dyDescent="0.15">
      <c r="A235" s="89"/>
      <c r="B235" s="89"/>
      <c r="C235" s="91"/>
    </row>
    <row r="236" spans="1:3" ht="13" x14ac:dyDescent="0.15">
      <c r="A236" s="89"/>
      <c r="B236" s="89"/>
      <c r="C236" s="91"/>
    </row>
    <row r="237" spans="1:3" ht="13" x14ac:dyDescent="0.15">
      <c r="A237" s="89"/>
      <c r="B237" s="89"/>
      <c r="C237" s="91"/>
    </row>
    <row r="238" spans="1:3" ht="13" x14ac:dyDescent="0.15">
      <c r="A238" s="89"/>
      <c r="B238" s="89"/>
      <c r="C238" s="91"/>
    </row>
    <row r="239" spans="1:3" ht="13" x14ac:dyDescent="0.15">
      <c r="A239" s="89"/>
      <c r="B239" s="89"/>
      <c r="C239" s="91"/>
    </row>
    <row r="240" spans="1:3" ht="13" x14ac:dyDescent="0.15">
      <c r="A240" s="89"/>
      <c r="B240" s="89"/>
      <c r="C240" s="91"/>
    </row>
    <row r="241" spans="1:3" ht="13" x14ac:dyDescent="0.15">
      <c r="A241" s="89"/>
      <c r="B241" s="89"/>
      <c r="C241" s="91"/>
    </row>
    <row r="242" spans="1:3" ht="13" x14ac:dyDescent="0.15">
      <c r="A242" s="89"/>
      <c r="B242" s="89"/>
      <c r="C242" s="91"/>
    </row>
    <row r="243" spans="1:3" ht="13" x14ac:dyDescent="0.15">
      <c r="A243" s="89"/>
      <c r="B243" s="89"/>
      <c r="C243" s="91"/>
    </row>
    <row r="244" spans="1:3" ht="13" x14ac:dyDescent="0.15">
      <c r="A244" s="89"/>
      <c r="B244" s="89"/>
      <c r="C244" s="91"/>
    </row>
    <row r="245" spans="1:3" ht="13" x14ac:dyDescent="0.15">
      <c r="A245" s="89"/>
      <c r="B245" s="89"/>
      <c r="C245" s="91"/>
    </row>
    <row r="246" spans="1:3" ht="13" x14ac:dyDescent="0.15">
      <c r="A246" s="89"/>
      <c r="B246" s="89"/>
      <c r="C246" s="91"/>
    </row>
    <row r="247" spans="1:3" ht="13" x14ac:dyDescent="0.15">
      <c r="A247" s="89"/>
      <c r="B247" s="89"/>
      <c r="C247" s="91"/>
    </row>
    <row r="248" spans="1:3" ht="13" x14ac:dyDescent="0.15">
      <c r="A248" s="89"/>
      <c r="B248" s="89"/>
      <c r="C248" s="91"/>
    </row>
    <row r="249" spans="1:3" ht="13" x14ac:dyDescent="0.15">
      <c r="A249" s="89"/>
      <c r="B249" s="89"/>
      <c r="C249" s="91"/>
    </row>
    <row r="250" spans="1:3" ht="13" x14ac:dyDescent="0.15">
      <c r="A250" s="89"/>
      <c r="B250" s="89"/>
      <c r="C250" s="91"/>
    </row>
    <row r="251" spans="1:3" ht="13" x14ac:dyDescent="0.15">
      <c r="A251" s="89"/>
      <c r="B251" s="89"/>
      <c r="C251" s="91"/>
    </row>
    <row r="252" spans="1:3" ht="13" x14ac:dyDescent="0.15">
      <c r="A252" s="89"/>
      <c r="B252" s="89"/>
      <c r="C252" s="91"/>
    </row>
    <row r="253" spans="1:3" ht="13" x14ac:dyDescent="0.15">
      <c r="A253" s="89"/>
      <c r="B253" s="89"/>
      <c r="C253" s="91"/>
    </row>
    <row r="254" spans="1:3" ht="13" x14ac:dyDescent="0.15">
      <c r="A254" s="89"/>
      <c r="B254" s="89"/>
      <c r="C254" s="91"/>
    </row>
    <row r="255" spans="1:3" ht="13" x14ac:dyDescent="0.15">
      <c r="A255" s="89"/>
      <c r="B255" s="89"/>
      <c r="C255" s="91"/>
    </row>
    <row r="256" spans="1:3" ht="13" x14ac:dyDescent="0.15">
      <c r="A256" s="89"/>
      <c r="B256" s="89"/>
      <c r="C256" s="91"/>
    </row>
    <row r="257" spans="1:3" ht="13" x14ac:dyDescent="0.15">
      <c r="A257" s="89"/>
      <c r="B257" s="89"/>
      <c r="C257" s="91"/>
    </row>
    <row r="258" spans="1:3" ht="13" x14ac:dyDescent="0.15">
      <c r="A258" s="89"/>
      <c r="B258" s="89"/>
      <c r="C258" s="91"/>
    </row>
    <row r="259" spans="1:3" ht="13" x14ac:dyDescent="0.15">
      <c r="A259" s="89"/>
      <c r="B259" s="89"/>
      <c r="C259" s="91"/>
    </row>
    <row r="260" spans="1:3" ht="13" x14ac:dyDescent="0.15">
      <c r="A260" s="89"/>
      <c r="B260" s="89"/>
      <c r="C260" s="91"/>
    </row>
    <row r="261" spans="1:3" ht="13" x14ac:dyDescent="0.15">
      <c r="A261" s="89"/>
      <c r="B261" s="89"/>
      <c r="C261" s="91"/>
    </row>
    <row r="262" spans="1:3" ht="13" x14ac:dyDescent="0.15">
      <c r="A262" s="89"/>
      <c r="B262" s="89"/>
      <c r="C262" s="91"/>
    </row>
    <row r="263" spans="1:3" ht="13" x14ac:dyDescent="0.15">
      <c r="A263" s="89"/>
      <c r="B263" s="89"/>
      <c r="C263" s="91"/>
    </row>
    <row r="264" spans="1:3" ht="13" x14ac:dyDescent="0.15">
      <c r="A264" s="89"/>
      <c r="B264" s="89"/>
      <c r="C264" s="91"/>
    </row>
    <row r="265" spans="1:3" ht="13" x14ac:dyDescent="0.15">
      <c r="A265" s="89"/>
      <c r="B265" s="89"/>
      <c r="C265" s="91"/>
    </row>
    <row r="266" spans="1:3" ht="13" x14ac:dyDescent="0.15">
      <c r="A266" s="89"/>
      <c r="B266" s="89"/>
      <c r="C266" s="91"/>
    </row>
    <row r="267" spans="1:3" ht="13" x14ac:dyDescent="0.15">
      <c r="A267" s="89"/>
      <c r="B267" s="89"/>
      <c r="C267" s="91"/>
    </row>
    <row r="268" spans="1:3" ht="13" x14ac:dyDescent="0.15">
      <c r="A268" s="89"/>
      <c r="B268" s="89"/>
      <c r="C268" s="91"/>
    </row>
    <row r="269" spans="1:3" ht="13" x14ac:dyDescent="0.15">
      <c r="A269" s="89"/>
      <c r="B269" s="89"/>
      <c r="C269" s="91"/>
    </row>
    <row r="270" spans="1:3" ht="13" x14ac:dyDescent="0.15">
      <c r="A270" s="89"/>
      <c r="B270" s="89"/>
      <c r="C270" s="91"/>
    </row>
    <row r="271" spans="1:3" ht="13" x14ac:dyDescent="0.15">
      <c r="A271" s="89"/>
      <c r="B271" s="89"/>
      <c r="C271" s="91"/>
    </row>
    <row r="272" spans="1:3" ht="13" x14ac:dyDescent="0.15">
      <c r="A272" s="89"/>
      <c r="B272" s="89"/>
      <c r="C272" s="91"/>
    </row>
    <row r="273" spans="1:3" ht="13" x14ac:dyDescent="0.15">
      <c r="A273" s="89"/>
      <c r="B273" s="89"/>
      <c r="C273" s="91"/>
    </row>
    <row r="274" spans="1:3" ht="13" x14ac:dyDescent="0.15">
      <c r="A274" s="89"/>
      <c r="B274" s="89"/>
      <c r="C274" s="91"/>
    </row>
    <row r="275" spans="1:3" ht="13" x14ac:dyDescent="0.15">
      <c r="A275" s="89"/>
      <c r="B275" s="89"/>
      <c r="C275" s="91"/>
    </row>
    <row r="276" spans="1:3" ht="13" x14ac:dyDescent="0.15">
      <c r="A276" s="89"/>
      <c r="B276" s="89"/>
      <c r="C276" s="91"/>
    </row>
    <row r="277" spans="1:3" ht="13" x14ac:dyDescent="0.15">
      <c r="A277" s="89"/>
      <c r="B277" s="89"/>
      <c r="C277" s="91"/>
    </row>
    <row r="278" spans="1:3" ht="13" x14ac:dyDescent="0.15">
      <c r="A278" s="89"/>
      <c r="B278" s="89"/>
      <c r="C278" s="91"/>
    </row>
    <row r="279" spans="1:3" ht="13" x14ac:dyDescent="0.15">
      <c r="A279" s="89"/>
      <c r="B279" s="89"/>
      <c r="C279" s="91"/>
    </row>
    <row r="280" spans="1:3" ht="13" x14ac:dyDescent="0.15">
      <c r="A280" s="89"/>
      <c r="B280" s="89"/>
      <c r="C280" s="91"/>
    </row>
    <row r="281" spans="1:3" ht="13" x14ac:dyDescent="0.15">
      <c r="A281" s="89"/>
      <c r="B281" s="89"/>
      <c r="C281" s="91"/>
    </row>
    <row r="282" spans="1:3" ht="13" x14ac:dyDescent="0.15">
      <c r="A282" s="89"/>
      <c r="B282" s="89"/>
      <c r="C282" s="91"/>
    </row>
    <row r="283" spans="1:3" ht="13" x14ac:dyDescent="0.15">
      <c r="A283" s="89"/>
      <c r="B283" s="89"/>
      <c r="C283" s="91"/>
    </row>
    <row r="284" spans="1:3" ht="13" x14ac:dyDescent="0.15">
      <c r="A284" s="89"/>
      <c r="B284" s="89"/>
      <c r="C284" s="91"/>
    </row>
    <row r="285" spans="1:3" ht="13" x14ac:dyDescent="0.15">
      <c r="A285" s="89"/>
      <c r="B285" s="89"/>
      <c r="C285" s="91"/>
    </row>
    <row r="286" spans="1:3" ht="13" x14ac:dyDescent="0.15">
      <c r="A286" s="89"/>
      <c r="B286" s="89"/>
      <c r="C286" s="91"/>
    </row>
    <row r="287" spans="1:3" ht="13" x14ac:dyDescent="0.15">
      <c r="A287" s="89"/>
      <c r="B287" s="89"/>
      <c r="C287" s="91"/>
    </row>
    <row r="288" spans="1:3" ht="13" x14ac:dyDescent="0.15">
      <c r="A288" s="89"/>
      <c r="B288" s="89"/>
      <c r="C288" s="91"/>
    </row>
    <row r="289" spans="1:3" ht="13" x14ac:dyDescent="0.15">
      <c r="A289" s="89"/>
      <c r="B289" s="89"/>
      <c r="C289" s="91"/>
    </row>
    <row r="290" spans="1:3" ht="13" x14ac:dyDescent="0.15">
      <c r="A290" s="89"/>
      <c r="B290" s="89"/>
      <c r="C290" s="91"/>
    </row>
    <row r="291" spans="1:3" ht="13" x14ac:dyDescent="0.15">
      <c r="A291" s="89"/>
      <c r="B291" s="89"/>
      <c r="C291" s="91"/>
    </row>
    <row r="292" spans="1:3" ht="13" x14ac:dyDescent="0.15">
      <c r="A292" s="89"/>
      <c r="B292" s="89"/>
      <c r="C292" s="91"/>
    </row>
    <row r="293" spans="1:3" ht="13" x14ac:dyDescent="0.15">
      <c r="A293" s="89"/>
      <c r="B293" s="89"/>
      <c r="C293" s="91"/>
    </row>
    <row r="294" spans="1:3" ht="13" x14ac:dyDescent="0.15">
      <c r="A294" s="89"/>
      <c r="B294" s="89"/>
      <c r="C294" s="91"/>
    </row>
    <row r="295" spans="1:3" ht="13" x14ac:dyDescent="0.15">
      <c r="A295" s="89"/>
      <c r="B295" s="89"/>
      <c r="C295" s="91"/>
    </row>
    <row r="296" spans="1:3" ht="13" x14ac:dyDescent="0.15">
      <c r="A296" s="89"/>
      <c r="B296" s="89"/>
      <c r="C296" s="91"/>
    </row>
    <row r="297" spans="1:3" ht="13" x14ac:dyDescent="0.15">
      <c r="A297" s="89"/>
      <c r="B297" s="89"/>
      <c r="C297" s="91"/>
    </row>
    <row r="298" spans="1:3" ht="13" x14ac:dyDescent="0.15">
      <c r="A298" s="89"/>
      <c r="B298" s="89"/>
      <c r="C298" s="91"/>
    </row>
    <row r="299" spans="1:3" ht="13" x14ac:dyDescent="0.15">
      <c r="A299" s="89"/>
      <c r="B299" s="89"/>
      <c r="C299" s="91"/>
    </row>
    <row r="300" spans="1:3" ht="13" x14ac:dyDescent="0.15">
      <c r="A300" s="89"/>
      <c r="B300" s="89"/>
      <c r="C300" s="91"/>
    </row>
    <row r="301" spans="1:3" ht="13" x14ac:dyDescent="0.15">
      <c r="A301" s="89"/>
      <c r="B301" s="89"/>
      <c r="C301" s="91"/>
    </row>
    <row r="302" spans="1:3" ht="13" x14ac:dyDescent="0.15">
      <c r="A302" s="89"/>
      <c r="B302" s="89"/>
      <c r="C302" s="91"/>
    </row>
    <row r="303" spans="1:3" ht="13" x14ac:dyDescent="0.15">
      <c r="A303" s="89"/>
      <c r="B303" s="89"/>
      <c r="C303" s="91"/>
    </row>
    <row r="304" spans="1:3" ht="13" x14ac:dyDescent="0.15">
      <c r="A304" s="89"/>
      <c r="B304" s="89"/>
      <c r="C304" s="91"/>
    </row>
    <row r="305" spans="1:3" ht="13" x14ac:dyDescent="0.15">
      <c r="A305" s="89"/>
      <c r="B305" s="89"/>
      <c r="C305" s="91"/>
    </row>
    <row r="306" spans="1:3" ht="13" x14ac:dyDescent="0.15">
      <c r="A306" s="89"/>
      <c r="B306" s="89"/>
      <c r="C306" s="91"/>
    </row>
    <row r="307" spans="1:3" ht="13" x14ac:dyDescent="0.15">
      <c r="A307" s="89"/>
      <c r="B307" s="89"/>
      <c r="C307" s="91"/>
    </row>
    <row r="308" spans="1:3" ht="13" x14ac:dyDescent="0.15">
      <c r="A308" s="89"/>
      <c r="B308" s="89"/>
      <c r="C308" s="91"/>
    </row>
    <row r="309" spans="1:3" ht="13" x14ac:dyDescent="0.15">
      <c r="A309" s="89"/>
      <c r="B309" s="89"/>
      <c r="C309" s="91"/>
    </row>
    <row r="310" spans="1:3" ht="13" x14ac:dyDescent="0.15">
      <c r="A310" s="89"/>
      <c r="B310" s="89"/>
      <c r="C310" s="91"/>
    </row>
    <row r="311" spans="1:3" ht="13" x14ac:dyDescent="0.15">
      <c r="A311" s="89"/>
      <c r="B311" s="89"/>
      <c r="C311" s="91"/>
    </row>
    <row r="312" spans="1:3" ht="13" x14ac:dyDescent="0.15">
      <c r="A312" s="89"/>
      <c r="B312" s="89"/>
      <c r="C312" s="91"/>
    </row>
    <row r="313" spans="1:3" ht="13" x14ac:dyDescent="0.15">
      <c r="A313" s="89"/>
      <c r="B313" s="89"/>
      <c r="C313" s="91"/>
    </row>
    <row r="314" spans="1:3" ht="13" x14ac:dyDescent="0.15">
      <c r="A314" s="89"/>
      <c r="B314" s="89"/>
      <c r="C314" s="91"/>
    </row>
    <row r="315" spans="1:3" ht="13" x14ac:dyDescent="0.15">
      <c r="A315" s="89"/>
      <c r="B315" s="89"/>
      <c r="C315" s="91"/>
    </row>
    <row r="316" spans="1:3" ht="13" x14ac:dyDescent="0.15">
      <c r="A316" s="89"/>
      <c r="B316" s="89"/>
      <c r="C316" s="91"/>
    </row>
    <row r="317" spans="1:3" ht="13" x14ac:dyDescent="0.15">
      <c r="A317" s="89"/>
      <c r="B317" s="89"/>
      <c r="C317" s="91"/>
    </row>
    <row r="318" spans="1:3" ht="13" x14ac:dyDescent="0.15">
      <c r="A318" s="89"/>
      <c r="B318" s="89"/>
      <c r="C318" s="91"/>
    </row>
    <row r="319" spans="1:3" ht="13" x14ac:dyDescent="0.15">
      <c r="A319" s="89"/>
      <c r="B319" s="89"/>
      <c r="C319" s="91"/>
    </row>
    <row r="320" spans="1:3" ht="13" x14ac:dyDescent="0.15">
      <c r="A320" s="89"/>
      <c r="B320" s="89"/>
      <c r="C320" s="91"/>
    </row>
    <row r="321" spans="1:3" ht="13" x14ac:dyDescent="0.15">
      <c r="A321" s="89"/>
      <c r="B321" s="89"/>
      <c r="C321" s="91"/>
    </row>
    <row r="322" spans="1:3" ht="13" x14ac:dyDescent="0.15">
      <c r="A322" s="89"/>
      <c r="B322" s="89"/>
      <c r="C322" s="91"/>
    </row>
    <row r="323" spans="1:3" ht="13" x14ac:dyDescent="0.15">
      <c r="A323" s="89"/>
      <c r="B323" s="89"/>
      <c r="C323" s="91"/>
    </row>
    <row r="324" spans="1:3" ht="13" x14ac:dyDescent="0.15">
      <c r="A324" s="89"/>
      <c r="B324" s="89"/>
      <c r="C324" s="91"/>
    </row>
    <row r="325" spans="1:3" ht="13" x14ac:dyDescent="0.15">
      <c r="A325" s="89"/>
      <c r="B325" s="89"/>
      <c r="C325" s="91"/>
    </row>
    <row r="326" spans="1:3" ht="13" x14ac:dyDescent="0.15">
      <c r="A326" s="89"/>
      <c r="B326" s="89"/>
      <c r="C326" s="91"/>
    </row>
    <row r="327" spans="1:3" ht="13" x14ac:dyDescent="0.15">
      <c r="A327" s="89"/>
      <c r="B327" s="89"/>
      <c r="C327" s="91"/>
    </row>
    <row r="328" spans="1:3" ht="13" x14ac:dyDescent="0.15">
      <c r="A328" s="89"/>
      <c r="B328" s="89"/>
      <c r="C328" s="91"/>
    </row>
    <row r="329" spans="1:3" ht="13" x14ac:dyDescent="0.15">
      <c r="A329" s="89"/>
      <c r="B329" s="89"/>
      <c r="C329" s="91"/>
    </row>
    <row r="330" spans="1:3" ht="13" x14ac:dyDescent="0.15">
      <c r="A330" s="89"/>
      <c r="B330" s="89"/>
      <c r="C330" s="91"/>
    </row>
    <row r="331" spans="1:3" ht="13" x14ac:dyDescent="0.15">
      <c r="A331" s="89"/>
      <c r="B331" s="89"/>
      <c r="C331" s="91"/>
    </row>
    <row r="332" spans="1:3" ht="13" x14ac:dyDescent="0.15">
      <c r="A332" s="89"/>
      <c r="B332" s="89"/>
      <c r="C332" s="91"/>
    </row>
    <row r="333" spans="1:3" ht="13" x14ac:dyDescent="0.15">
      <c r="A333" s="89"/>
      <c r="B333" s="89"/>
      <c r="C333" s="91"/>
    </row>
    <row r="334" spans="1:3" ht="13" x14ac:dyDescent="0.15">
      <c r="A334" s="89"/>
      <c r="B334" s="89"/>
      <c r="C334" s="91"/>
    </row>
    <row r="335" spans="1:3" ht="13" x14ac:dyDescent="0.15">
      <c r="A335" s="89"/>
      <c r="B335" s="89"/>
      <c r="C335" s="91"/>
    </row>
    <row r="336" spans="1:3" ht="13" x14ac:dyDescent="0.15">
      <c r="A336" s="89"/>
      <c r="B336" s="89"/>
      <c r="C336" s="91"/>
    </row>
    <row r="337" spans="1:3" ht="13" x14ac:dyDescent="0.15">
      <c r="A337" s="89"/>
      <c r="B337" s="89"/>
      <c r="C337" s="91"/>
    </row>
    <row r="338" spans="1:3" ht="13" x14ac:dyDescent="0.15">
      <c r="A338" s="89"/>
      <c r="B338" s="89"/>
      <c r="C338" s="91"/>
    </row>
    <row r="339" spans="1:3" ht="13" x14ac:dyDescent="0.15">
      <c r="A339" s="89"/>
      <c r="B339" s="89"/>
      <c r="C339" s="91"/>
    </row>
    <row r="340" spans="1:3" ht="13" x14ac:dyDescent="0.15">
      <c r="A340" s="89"/>
      <c r="B340" s="89"/>
      <c r="C340" s="91"/>
    </row>
    <row r="341" spans="1:3" ht="13" x14ac:dyDescent="0.15">
      <c r="A341" s="89"/>
      <c r="B341" s="89"/>
      <c r="C341" s="91"/>
    </row>
    <row r="342" spans="1:3" ht="13" x14ac:dyDescent="0.15">
      <c r="A342" s="89"/>
      <c r="B342" s="89"/>
      <c r="C342" s="91"/>
    </row>
    <row r="343" spans="1:3" ht="13" x14ac:dyDescent="0.15">
      <c r="A343" s="89"/>
      <c r="B343" s="89"/>
      <c r="C343" s="91"/>
    </row>
    <row r="344" spans="1:3" ht="13" x14ac:dyDescent="0.15">
      <c r="A344" s="89"/>
      <c r="B344" s="89"/>
      <c r="C344" s="91"/>
    </row>
    <row r="345" spans="1:3" ht="13" x14ac:dyDescent="0.15">
      <c r="A345" s="89"/>
      <c r="B345" s="89"/>
      <c r="C345" s="91"/>
    </row>
    <row r="346" spans="1:3" ht="13" x14ac:dyDescent="0.15">
      <c r="A346" s="89"/>
      <c r="B346" s="89"/>
      <c r="C346" s="91"/>
    </row>
    <row r="347" spans="1:3" ht="13" x14ac:dyDescent="0.15">
      <c r="A347" s="89"/>
      <c r="B347" s="89"/>
      <c r="C347" s="91"/>
    </row>
    <row r="348" spans="1:3" ht="13" x14ac:dyDescent="0.15">
      <c r="A348" s="89"/>
      <c r="B348" s="89"/>
      <c r="C348" s="91"/>
    </row>
    <row r="349" spans="1:3" ht="13" x14ac:dyDescent="0.15">
      <c r="A349" s="89"/>
      <c r="B349" s="89"/>
      <c r="C349" s="91"/>
    </row>
    <row r="350" spans="1:3" ht="13" x14ac:dyDescent="0.15">
      <c r="A350" s="89"/>
      <c r="B350" s="89"/>
      <c r="C350" s="91"/>
    </row>
    <row r="351" spans="1:3" ht="13" x14ac:dyDescent="0.15">
      <c r="A351" s="89"/>
      <c r="B351" s="89"/>
      <c r="C351" s="91"/>
    </row>
    <row r="352" spans="1:3" ht="13" x14ac:dyDescent="0.15">
      <c r="A352" s="89"/>
      <c r="B352" s="89"/>
      <c r="C352" s="91"/>
    </row>
    <row r="353" spans="1:3" ht="13" x14ac:dyDescent="0.15">
      <c r="A353" s="89"/>
      <c r="B353" s="89"/>
      <c r="C353" s="91"/>
    </row>
    <row r="354" spans="1:3" ht="13" x14ac:dyDescent="0.15">
      <c r="A354" s="89"/>
      <c r="B354" s="89"/>
      <c r="C354" s="91"/>
    </row>
    <row r="355" spans="1:3" ht="13" x14ac:dyDescent="0.15">
      <c r="A355" s="89"/>
      <c r="B355" s="89"/>
      <c r="C355" s="91"/>
    </row>
    <row r="356" spans="1:3" ht="13" x14ac:dyDescent="0.15">
      <c r="A356" s="89"/>
      <c r="B356" s="89"/>
      <c r="C356" s="91"/>
    </row>
    <row r="357" spans="1:3" ht="13" x14ac:dyDescent="0.15">
      <c r="A357" s="89"/>
      <c r="B357" s="89"/>
      <c r="C357" s="91"/>
    </row>
    <row r="358" spans="1:3" ht="13" x14ac:dyDescent="0.15">
      <c r="A358" s="89"/>
      <c r="B358" s="89"/>
      <c r="C358" s="91"/>
    </row>
    <row r="359" spans="1:3" ht="13" x14ac:dyDescent="0.15">
      <c r="A359" s="89"/>
      <c r="B359" s="89"/>
      <c r="C359" s="91"/>
    </row>
    <row r="360" spans="1:3" ht="13" x14ac:dyDescent="0.15">
      <c r="A360" s="89"/>
      <c r="B360" s="89"/>
      <c r="C360" s="91"/>
    </row>
    <row r="361" spans="1:3" ht="13" x14ac:dyDescent="0.15">
      <c r="A361" s="89"/>
      <c r="B361" s="89"/>
      <c r="C361" s="91"/>
    </row>
    <row r="362" spans="1:3" ht="13" x14ac:dyDescent="0.15">
      <c r="A362" s="89"/>
      <c r="B362" s="89"/>
      <c r="C362" s="91"/>
    </row>
    <row r="363" spans="1:3" ht="13" x14ac:dyDescent="0.15">
      <c r="A363" s="89"/>
      <c r="B363" s="89"/>
      <c r="C363" s="91"/>
    </row>
    <row r="364" spans="1:3" ht="13" x14ac:dyDescent="0.15">
      <c r="A364" s="89"/>
      <c r="B364" s="89"/>
      <c r="C364" s="91"/>
    </row>
    <row r="365" spans="1:3" ht="13" x14ac:dyDescent="0.15">
      <c r="A365" s="89"/>
      <c r="B365" s="89"/>
      <c r="C365" s="91"/>
    </row>
    <row r="366" spans="1:3" ht="13" x14ac:dyDescent="0.15">
      <c r="A366" s="89"/>
      <c r="B366" s="89"/>
      <c r="C366" s="91"/>
    </row>
    <row r="367" spans="1:3" ht="13" x14ac:dyDescent="0.15">
      <c r="A367" s="89"/>
      <c r="B367" s="89"/>
      <c r="C367" s="91"/>
    </row>
    <row r="368" spans="1:3" ht="13" x14ac:dyDescent="0.15">
      <c r="A368" s="89"/>
      <c r="B368" s="89"/>
      <c r="C368" s="91"/>
    </row>
    <row r="369" spans="1:3" ht="13" x14ac:dyDescent="0.15">
      <c r="A369" s="89"/>
      <c r="B369" s="89"/>
      <c r="C369" s="91"/>
    </row>
    <row r="370" spans="1:3" ht="13" x14ac:dyDescent="0.15">
      <c r="A370" s="89"/>
      <c r="B370" s="89"/>
      <c r="C370" s="91"/>
    </row>
    <row r="371" spans="1:3" ht="13" x14ac:dyDescent="0.15">
      <c r="A371" s="89"/>
      <c r="B371" s="89"/>
      <c r="C371" s="91"/>
    </row>
    <row r="372" spans="1:3" ht="13" x14ac:dyDescent="0.15">
      <c r="A372" s="89"/>
      <c r="B372" s="89"/>
      <c r="C372" s="91"/>
    </row>
    <row r="373" spans="1:3" ht="13" x14ac:dyDescent="0.15">
      <c r="A373" s="89"/>
      <c r="B373" s="89"/>
      <c r="C373" s="91"/>
    </row>
    <row r="374" spans="1:3" ht="13" x14ac:dyDescent="0.15">
      <c r="A374" s="89"/>
      <c r="B374" s="89"/>
      <c r="C374" s="91"/>
    </row>
    <row r="375" spans="1:3" ht="13" x14ac:dyDescent="0.15">
      <c r="A375" s="89"/>
      <c r="B375" s="89"/>
      <c r="C375" s="91"/>
    </row>
    <row r="376" spans="1:3" ht="13" x14ac:dyDescent="0.15">
      <c r="A376" s="89"/>
      <c r="B376" s="89"/>
      <c r="C376" s="91"/>
    </row>
    <row r="377" spans="1:3" ht="13" x14ac:dyDescent="0.15">
      <c r="A377" s="89"/>
      <c r="B377" s="89"/>
      <c r="C377" s="91"/>
    </row>
    <row r="378" spans="1:3" ht="13" x14ac:dyDescent="0.15">
      <c r="A378" s="89"/>
      <c r="B378" s="89"/>
      <c r="C378" s="91"/>
    </row>
    <row r="379" spans="1:3" ht="13" x14ac:dyDescent="0.15">
      <c r="A379" s="89"/>
      <c r="B379" s="89"/>
      <c r="C379" s="91"/>
    </row>
    <row r="380" spans="1:3" ht="13" x14ac:dyDescent="0.15">
      <c r="A380" s="89"/>
      <c r="B380" s="89"/>
      <c r="C380" s="91"/>
    </row>
    <row r="381" spans="1:3" ht="13" x14ac:dyDescent="0.15">
      <c r="A381" s="89"/>
      <c r="B381" s="89"/>
      <c r="C381" s="91"/>
    </row>
    <row r="382" spans="1:3" ht="13" x14ac:dyDescent="0.15">
      <c r="A382" s="89"/>
      <c r="B382" s="89"/>
      <c r="C382" s="91"/>
    </row>
    <row r="383" spans="1:3" ht="13" x14ac:dyDescent="0.15">
      <c r="A383" s="89"/>
      <c r="B383" s="89"/>
      <c r="C383" s="91"/>
    </row>
    <row r="384" spans="1:3" ht="13" x14ac:dyDescent="0.15">
      <c r="A384" s="89"/>
      <c r="B384" s="89"/>
      <c r="C384" s="91"/>
    </row>
    <row r="385" spans="1:3" ht="13" x14ac:dyDescent="0.15">
      <c r="A385" s="89"/>
      <c r="B385" s="89"/>
      <c r="C385" s="91"/>
    </row>
    <row r="386" spans="1:3" ht="13" x14ac:dyDescent="0.15">
      <c r="A386" s="89"/>
      <c r="B386" s="89"/>
      <c r="C386" s="91"/>
    </row>
    <row r="387" spans="1:3" ht="13" x14ac:dyDescent="0.15">
      <c r="A387" s="89"/>
      <c r="B387" s="89"/>
      <c r="C387" s="91"/>
    </row>
    <row r="388" spans="1:3" ht="13" x14ac:dyDescent="0.15">
      <c r="A388" s="89"/>
      <c r="B388" s="89"/>
      <c r="C388" s="91"/>
    </row>
    <row r="389" spans="1:3" ht="13" x14ac:dyDescent="0.15">
      <c r="A389" s="89"/>
      <c r="B389" s="89"/>
      <c r="C389" s="91"/>
    </row>
    <row r="390" spans="1:3" ht="13" x14ac:dyDescent="0.15">
      <c r="A390" s="89"/>
      <c r="B390" s="89"/>
      <c r="C390" s="91"/>
    </row>
    <row r="391" spans="1:3" ht="13" x14ac:dyDescent="0.15">
      <c r="A391" s="89"/>
      <c r="B391" s="89"/>
      <c r="C391" s="91"/>
    </row>
    <row r="392" spans="1:3" ht="13" x14ac:dyDescent="0.15">
      <c r="A392" s="89"/>
      <c r="B392" s="89"/>
      <c r="C392" s="91"/>
    </row>
    <row r="393" spans="1:3" ht="13" x14ac:dyDescent="0.15">
      <c r="A393" s="89"/>
      <c r="B393" s="89"/>
      <c r="C393" s="91"/>
    </row>
    <row r="394" spans="1:3" ht="13" x14ac:dyDescent="0.15">
      <c r="A394" s="89"/>
      <c r="B394" s="89"/>
      <c r="C394" s="91"/>
    </row>
    <row r="395" spans="1:3" ht="13" x14ac:dyDescent="0.15">
      <c r="A395" s="89"/>
      <c r="B395" s="89"/>
      <c r="C395" s="91"/>
    </row>
    <row r="396" spans="1:3" ht="13" x14ac:dyDescent="0.15">
      <c r="A396" s="89"/>
      <c r="B396" s="89"/>
      <c r="C396" s="91"/>
    </row>
    <row r="397" spans="1:3" ht="13" x14ac:dyDescent="0.15">
      <c r="A397" s="89"/>
      <c r="B397" s="89"/>
      <c r="C397" s="91"/>
    </row>
    <row r="398" spans="1:3" ht="13" x14ac:dyDescent="0.15">
      <c r="A398" s="89"/>
      <c r="B398" s="89"/>
      <c r="C398" s="91"/>
    </row>
    <row r="399" spans="1:3" ht="13" x14ac:dyDescent="0.15">
      <c r="A399" s="89"/>
      <c r="B399" s="89"/>
      <c r="C399" s="91"/>
    </row>
    <row r="400" spans="1:3" ht="13" x14ac:dyDescent="0.15">
      <c r="A400" s="89"/>
      <c r="B400" s="89"/>
      <c r="C400" s="91"/>
    </row>
    <row r="401" spans="1:3" ht="13" x14ac:dyDescent="0.15">
      <c r="A401" s="89"/>
      <c r="B401" s="89"/>
      <c r="C401" s="91"/>
    </row>
    <row r="402" spans="1:3" ht="13" x14ac:dyDescent="0.15">
      <c r="A402" s="89"/>
      <c r="B402" s="89"/>
      <c r="C402" s="91"/>
    </row>
    <row r="403" spans="1:3" ht="13" x14ac:dyDescent="0.15">
      <c r="A403" s="89"/>
      <c r="B403" s="89"/>
      <c r="C403" s="91"/>
    </row>
    <row r="404" spans="1:3" ht="13" x14ac:dyDescent="0.15">
      <c r="A404" s="89"/>
      <c r="B404" s="89"/>
      <c r="C404" s="91"/>
    </row>
    <row r="405" spans="1:3" ht="13" x14ac:dyDescent="0.15">
      <c r="A405" s="89"/>
      <c r="B405" s="89"/>
      <c r="C405" s="91"/>
    </row>
    <row r="406" spans="1:3" ht="13" x14ac:dyDescent="0.15">
      <c r="A406" s="89"/>
      <c r="B406" s="89"/>
      <c r="C406" s="91"/>
    </row>
    <row r="407" spans="1:3" ht="13" x14ac:dyDescent="0.15">
      <c r="A407" s="89"/>
      <c r="B407" s="89"/>
      <c r="C407" s="91"/>
    </row>
    <row r="408" spans="1:3" ht="13" x14ac:dyDescent="0.15">
      <c r="A408" s="89"/>
      <c r="B408" s="89"/>
      <c r="C408" s="91"/>
    </row>
    <row r="409" spans="1:3" ht="13" x14ac:dyDescent="0.15">
      <c r="A409" s="89"/>
      <c r="B409" s="89"/>
      <c r="C409" s="91"/>
    </row>
    <row r="410" spans="1:3" ht="13" x14ac:dyDescent="0.15">
      <c r="A410" s="89"/>
      <c r="B410" s="89"/>
      <c r="C410" s="91"/>
    </row>
    <row r="411" spans="1:3" ht="13" x14ac:dyDescent="0.15">
      <c r="A411" s="89"/>
      <c r="B411" s="89"/>
      <c r="C411" s="91"/>
    </row>
    <row r="412" spans="1:3" ht="13" x14ac:dyDescent="0.15">
      <c r="A412" s="89"/>
      <c r="B412" s="89"/>
      <c r="C412" s="91"/>
    </row>
    <row r="413" spans="1:3" ht="13" x14ac:dyDescent="0.15">
      <c r="A413" s="89"/>
      <c r="B413" s="89"/>
      <c r="C413" s="91"/>
    </row>
    <row r="414" spans="1:3" ht="13" x14ac:dyDescent="0.15">
      <c r="A414" s="89"/>
      <c r="B414" s="89"/>
      <c r="C414" s="91"/>
    </row>
    <row r="415" spans="1:3" ht="13" x14ac:dyDescent="0.15">
      <c r="A415" s="89"/>
      <c r="B415" s="89"/>
      <c r="C415" s="91"/>
    </row>
    <row r="416" spans="1:3" ht="13" x14ac:dyDescent="0.15">
      <c r="A416" s="89"/>
      <c r="B416" s="89"/>
      <c r="C416" s="91"/>
    </row>
    <row r="417" spans="1:3" ht="13" x14ac:dyDescent="0.15">
      <c r="A417" s="89"/>
      <c r="B417" s="89"/>
      <c r="C417" s="91"/>
    </row>
    <row r="418" spans="1:3" ht="13" x14ac:dyDescent="0.15">
      <c r="A418" s="89"/>
      <c r="B418" s="89"/>
      <c r="C418" s="91"/>
    </row>
    <row r="419" spans="1:3" ht="13" x14ac:dyDescent="0.15">
      <c r="A419" s="89"/>
      <c r="B419" s="89"/>
      <c r="C419" s="91"/>
    </row>
    <row r="420" spans="1:3" ht="13" x14ac:dyDescent="0.15">
      <c r="A420" s="89"/>
      <c r="B420" s="89"/>
      <c r="C420" s="91"/>
    </row>
    <row r="421" spans="1:3" ht="13" x14ac:dyDescent="0.15">
      <c r="A421" s="89"/>
      <c r="B421" s="89"/>
      <c r="C421" s="91"/>
    </row>
    <row r="422" spans="1:3" ht="13" x14ac:dyDescent="0.15">
      <c r="A422" s="89"/>
      <c r="B422" s="89"/>
      <c r="C422" s="91"/>
    </row>
    <row r="423" spans="1:3" ht="13" x14ac:dyDescent="0.15">
      <c r="A423" s="89"/>
      <c r="B423" s="89"/>
      <c r="C423" s="91"/>
    </row>
    <row r="424" spans="1:3" ht="13" x14ac:dyDescent="0.15">
      <c r="A424" s="89"/>
      <c r="B424" s="89"/>
      <c r="C424" s="91"/>
    </row>
    <row r="425" spans="1:3" ht="13" x14ac:dyDescent="0.15">
      <c r="A425" s="89"/>
      <c r="B425" s="89"/>
      <c r="C425" s="91"/>
    </row>
    <row r="426" spans="1:3" ht="13" x14ac:dyDescent="0.15">
      <c r="A426" s="89"/>
      <c r="B426" s="89"/>
      <c r="C426" s="91"/>
    </row>
    <row r="427" spans="1:3" ht="13" x14ac:dyDescent="0.15">
      <c r="A427" s="89"/>
      <c r="B427" s="89"/>
      <c r="C427" s="91"/>
    </row>
    <row r="428" spans="1:3" ht="13" x14ac:dyDescent="0.15">
      <c r="A428" s="89"/>
      <c r="B428" s="89"/>
      <c r="C428" s="91"/>
    </row>
    <row r="429" spans="1:3" ht="13" x14ac:dyDescent="0.15">
      <c r="A429" s="89"/>
      <c r="B429" s="89"/>
      <c r="C429" s="91"/>
    </row>
    <row r="430" spans="1:3" ht="13" x14ac:dyDescent="0.15">
      <c r="A430" s="89"/>
      <c r="B430" s="89"/>
      <c r="C430" s="91"/>
    </row>
    <row r="431" spans="1:3" ht="13" x14ac:dyDescent="0.15">
      <c r="A431" s="89"/>
      <c r="B431" s="89"/>
      <c r="C431" s="91"/>
    </row>
    <row r="432" spans="1:3" ht="13" x14ac:dyDescent="0.15">
      <c r="A432" s="89"/>
      <c r="B432" s="89"/>
      <c r="C432" s="91"/>
    </row>
    <row r="433" spans="1:3" ht="13" x14ac:dyDescent="0.15">
      <c r="A433" s="89"/>
      <c r="B433" s="89"/>
      <c r="C433" s="91"/>
    </row>
    <row r="434" spans="1:3" ht="13" x14ac:dyDescent="0.15">
      <c r="A434" s="89"/>
      <c r="B434" s="89"/>
      <c r="C434" s="91"/>
    </row>
    <row r="435" spans="1:3" ht="13" x14ac:dyDescent="0.15">
      <c r="A435" s="89"/>
      <c r="B435" s="89"/>
      <c r="C435" s="91"/>
    </row>
    <row r="436" spans="1:3" ht="13" x14ac:dyDescent="0.15">
      <c r="A436" s="89"/>
      <c r="B436" s="89"/>
      <c r="C436" s="91"/>
    </row>
    <row r="437" spans="1:3" ht="13" x14ac:dyDescent="0.15">
      <c r="A437" s="89"/>
      <c r="B437" s="89"/>
      <c r="C437" s="91"/>
    </row>
    <row r="438" spans="1:3" ht="13" x14ac:dyDescent="0.15">
      <c r="A438" s="89"/>
      <c r="B438" s="89"/>
      <c r="C438" s="91"/>
    </row>
    <row r="439" spans="1:3" ht="13" x14ac:dyDescent="0.15">
      <c r="A439" s="89"/>
      <c r="B439" s="89"/>
      <c r="C439" s="91"/>
    </row>
    <row r="440" spans="1:3" ht="13" x14ac:dyDescent="0.15">
      <c r="A440" s="89"/>
      <c r="B440" s="89"/>
      <c r="C440" s="91"/>
    </row>
    <row r="441" spans="1:3" ht="13" x14ac:dyDescent="0.15">
      <c r="A441" s="89"/>
      <c r="B441" s="89"/>
      <c r="C441" s="91"/>
    </row>
    <row r="442" spans="1:3" ht="13" x14ac:dyDescent="0.15">
      <c r="A442" s="89"/>
      <c r="B442" s="89"/>
      <c r="C442" s="91"/>
    </row>
    <row r="443" spans="1:3" ht="13" x14ac:dyDescent="0.15">
      <c r="A443" s="89"/>
      <c r="B443" s="89"/>
      <c r="C443" s="91"/>
    </row>
    <row r="444" spans="1:3" ht="13" x14ac:dyDescent="0.15">
      <c r="A444" s="89"/>
      <c r="B444" s="89"/>
      <c r="C444" s="91"/>
    </row>
    <row r="445" spans="1:3" ht="13" x14ac:dyDescent="0.15">
      <c r="A445" s="89"/>
      <c r="B445" s="89"/>
      <c r="C445" s="91"/>
    </row>
    <row r="446" spans="1:3" ht="13" x14ac:dyDescent="0.15">
      <c r="A446" s="89"/>
      <c r="B446" s="89"/>
      <c r="C446" s="91"/>
    </row>
    <row r="447" spans="1:3" ht="13" x14ac:dyDescent="0.15">
      <c r="A447" s="89"/>
      <c r="B447" s="89"/>
      <c r="C447" s="91"/>
    </row>
    <row r="448" spans="1:3" ht="13" x14ac:dyDescent="0.15">
      <c r="A448" s="89"/>
      <c r="B448" s="89"/>
      <c r="C448" s="91"/>
    </row>
    <row r="449" spans="1:3" ht="13" x14ac:dyDescent="0.15">
      <c r="A449" s="89"/>
      <c r="B449" s="89"/>
      <c r="C449" s="91"/>
    </row>
    <row r="450" spans="1:3" ht="13" x14ac:dyDescent="0.15">
      <c r="A450" s="89"/>
      <c r="B450" s="89"/>
      <c r="C450" s="91"/>
    </row>
    <row r="451" spans="1:3" ht="13" x14ac:dyDescent="0.15">
      <c r="A451" s="89"/>
      <c r="B451" s="89"/>
      <c r="C451" s="91"/>
    </row>
    <row r="452" spans="1:3" ht="13" x14ac:dyDescent="0.15">
      <c r="A452" s="89"/>
      <c r="B452" s="89"/>
      <c r="C452" s="91"/>
    </row>
    <row r="453" spans="1:3" ht="13" x14ac:dyDescent="0.15">
      <c r="A453" s="89"/>
      <c r="B453" s="89"/>
      <c r="C453" s="91"/>
    </row>
    <row r="454" spans="1:3" ht="13" x14ac:dyDescent="0.15">
      <c r="A454" s="89"/>
      <c r="B454" s="89"/>
      <c r="C454" s="91"/>
    </row>
    <row r="455" spans="1:3" ht="13" x14ac:dyDescent="0.15">
      <c r="A455" s="89"/>
      <c r="B455" s="89"/>
      <c r="C455" s="91"/>
    </row>
    <row r="456" spans="1:3" ht="13" x14ac:dyDescent="0.15">
      <c r="A456" s="89"/>
      <c r="B456" s="89"/>
      <c r="C456" s="91"/>
    </row>
    <row r="457" spans="1:3" ht="13" x14ac:dyDescent="0.15">
      <c r="A457" s="89"/>
      <c r="B457" s="89"/>
      <c r="C457" s="91"/>
    </row>
    <row r="458" spans="1:3" ht="13" x14ac:dyDescent="0.15">
      <c r="A458" s="89"/>
      <c r="B458" s="89"/>
      <c r="C458" s="91"/>
    </row>
    <row r="459" spans="1:3" ht="13" x14ac:dyDescent="0.15">
      <c r="A459" s="89"/>
      <c r="B459" s="89"/>
      <c r="C459" s="91"/>
    </row>
    <row r="460" spans="1:3" ht="13" x14ac:dyDescent="0.15">
      <c r="A460" s="89"/>
      <c r="B460" s="89"/>
      <c r="C460" s="91"/>
    </row>
    <row r="461" spans="1:3" ht="13" x14ac:dyDescent="0.15">
      <c r="A461" s="89"/>
      <c r="B461" s="89"/>
      <c r="C461" s="91"/>
    </row>
    <row r="462" spans="1:3" ht="13" x14ac:dyDescent="0.15">
      <c r="A462" s="89"/>
      <c r="B462" s="89"/>
      <c r="C462" s="91"/>
    </row>
    <row r="463" spans="1:3" ht="13" x14ac:dyDescent="0.15">
      <c r="A463" s="89"/>
      <c r="B463" s="89"/>
      <c r="C463" s="91"/>
    </row>
    <row r="464" spans="1:3" ht="13" x14ac:dyDescent="0.15">
      <c r="A464" s="89"/>
      <c r="B464" s="89"/>
      <c r="C464" s="91"/>
    </row>
    <row r="465" spans="1:3" ht="13" x14ac:dyDescent="0.15">
      <c r="A465" s="89"/>
      <c r="B465" s="89"/>
      <c r="C465" s="91"/>
    </row>
    <row r="466" spans="1:3" ht="13" x14ac:dyDescent="0.15">
      <c r="A466" s="89"/>
      <c r="B466" s="89"/>
      <c r="C466" s="91"/>
    </row>
    <row r="467" spans="1:3" ht="13" x14ac:dyDescent="0.15">
      <c r="A467" s="89"/>
      <c r="B467" s="89"/>
      <c r="C467" s="91"/>
    </row>
    <row r="468" spans="1:3" ht="13" x14ac:dyDescent="0.15">
      <c r="A468" s="89"/>
      <c r="B468" s="89"/>
      <c r="C468" s="91"/>
    </row>
    <row r="469" spans="1:3" ht="13" x14ac:dyDescent="0.15">
      <c r="A469" s="89"/>
      <c r="B469" s="89"/>
      <c r="C469" s="91"/>
    </row>
    <row r="470" spans="1:3" ht="13" x14ac:dyDescent="0.15">
      <c r="A470" s="89"/>
      <c r="B470" s="89"/>
      <c r="C470" s="91"/>
    </row>
    <row r="471" spans="1:3" ht="13" x14ac:dyDescent="0.15">
      <c r="A471" s="89"/>
      <c r="B471" s="89"/>
      <c r="C471" s="91"/>
    </row>
    <row r="472" spans="1:3" ht="13" x14ac:dyDescent="0.15">
      <c r="A472" s="89"/>
      <c r="B472" s="89"/>
      <c r="C472" s="91"/>
    </row>
    <row r="473" spans="1:3" ht="13" x14ac:dyDescent="0.15">
      <c r="A473" s="89"/>
      <c r="B473" s="89"/>
      <c r="C473" s="91"/>
    </row>
    <row r="474" spans="1:3" ht="13" x14ac:dyDescent="0.15">
      <c r="A474" s="89"/>
      <c r="B474" s="89"/>
      <c r="C474" s="91"/>
    </row>
    <row r="475" spans="1:3" ht="13" x14ac:dyDescent="0.15">
      <c r="A475" s="89"/>
      <c r="B475" s="89"/>
      <c r="C475" s="91"/>
    </row>
    <row r="476" spans="1:3" ht="13" x14ac:dyDescent="0.15">
      <c r="A476" s="89"/>
      <c r="B476" s="89"/>
      <c r="C476" s="91"/>
    </row>
    <row r="477" spans="1:3" ht="13" x14ac:dyDescent="0.15">
      <c r="A477" s="89"/>
      <c r="B477" s="89"/>
      <c r="C477" s="91"/>
    </row>
    <row r="478" spans="1:3" ht="13" x14ac:dyDescent="0.15">
      <c r="A478" s="89"/>
      <c r="B478" s="89"/>
      <c r="C478" s="91"/>
    </row>
    <row r="479" spans="1:3" ht="13" x14ac:dyDescent="0.15">
      <c r="A479" s="89"/>
      <c r="B479" s="89"/>
      <c r="C479" s="91"/>
    </row>
    <row r="480" spans="1:3" ht="13" x14ac:dyDescent="0.15">
      <c r="A480" s="89"/>
      <c r="B480" s="89"/>
      <c r="C480" s="91"/>
    </row>
    <row r="481" spans="1:3" ht="13" x14ac:dyDescent="0.15">
      <c r="A481" s="89"/>
      <c r="B481" s="89"/>
      <c r="C481" s="91"/>
    </row>
    <row r="482" spans="1:3" ht="13" x14ac:dyDescent="0.15">
      <c r="A482" s="89"/>
      <c r="B482" s="89"/>
      <c r="C482" s="91"/>
    </row>
    <row r="483" spans="1:3" ht="13" x14ac:dyDescent="0.15">
      <c r="A483" s="89"/>
      <c r="B483" s="89"/>
      <c r="C483" s="91"/>
    </row>
    <row r="484" spans="1:3" ht="13" x14ac:dyDescent="0.15">
      <c r="A484" s="89"/>
      <c r="B484" s="89"/>
      <c r="C484" s="91"/>
    </row>
    <row r="485" spans="1:3" ht="13" x14ac:dyDescent="0.15">
      <c r="A485" s="89"/>
      <c r="B485" s="89"/>
      <c r="C485" s="91"/>
    </row>
    <row r="486" spans="1:3" ht="13" x14ac:dyDescent="0.15">
      <c r="A486" s="89"/>
      <c r="B486" s="89"/>
      <c r="C486" s="91"/>
    </row>
    <row r="487" spans="1:3" ht="13" x14ac:dyDescent="0.15">
      <c r="A487" s="89"/>
      <c r="B487" s="89"/>
      <c r="C487" s="91"/>
    </row>
    <row r="488" spans="1:3" ht="13" x14ac:dyDescent="0.15">
      <c r="A488" s="89"/>
      <c r="B488" s="89"/>
      <c r="C488" s="91"/>
    </row>
    <row r="489" spans="1:3" ht="13" x14ac:dyDescent="0.15">
      <c r="A489" s="89"/>
      <c r="B489" s="89"/>
      <c r="C489" s="91"/>
    </row>
    <row r="490" spans="1:3" ht="13" x14ac:dyDescent="0.15">
      <c r="A490" s="89"/>
      <c r="B490" s="89"/>
      <c r="C490" s="91"/>
    </row>
    <row r="491" spans="1:3" ht="13" x14ac:dyDescent="0.15">
      <c r="A491" s="89"/>
      <c r="B491" s="89"/>
      <c r="C491" s="91"/>
    </row>
    <row r="492" spans="1:3" ht="13" x14ac:dyDescent="0.15">
      <c r="A492" s="89"/>
      <c r="B492" s="89"/>
      <c r="C492" s="91"/>
    </row>
    <row r="493" spans="1:3" ht="13" x14ac:dyDescent="0.15">
      <c r="A493" s="89"/>
      <c r="B493" s="89"/>
      <c r="C493" s="91"/>
    </row>
    <row r="494" spans="1:3" ht="13" x14ac:dyDescent="0.15">
      <c r="A494" s="89"/>
      <c r="B494" s="89"/>
      <c r="C494" s="91"/>
    </row>
    <row r="495" spans="1:3" ht="13" x14ac:dyDescent="0.15">
      <c r="A495" s="89"/>
      <c r="B495" s="89"/>
      <c r="C495" s="91"/>
    </row>
    <row r="496" spans="1:3" ht="13" x14ac:dyDescent="0.15">
      <c r="A496" s="89"/>
      <c r="B496" s="89"/>
      <c r="C496" s="91"/>
    </row>
    <row r="497" spans="1:3" ht="13" x14ac:dyDescent="0.15">
      <c r="A497" s="89"/>
      <c r="B497" s="89"/>
      <c r="C497" s="91"/>
    </row>
    <row r="498" spans="1:3" ht="13" x14ac:dyDescent="0.15">
      <c r="A498" s="89"/>
      <c r="B498" s="89"/>
      <c r="C498" s="91"/>
    </row>
    <row r="499" spans="1:3" ht="13" x14ac:dyDescent="0.15">
      <c r="A499" s="89"/>
      <c r="B499" s="89"/>
      <c r="C499" s="91"/>
    </row>
    <row r="500" spans="1:3" ht="13" x14ac:dyDescent="0.15">
      <c r="A500" s="89"/>
      <c r="B500" s="89"/>
      <c r="C500" s="91"/>
    </row>
    <row r="501" spans="1:3" ht="13" x14ac:dyDescent="0.15">
      <c r="A501" s="89"/>
      <c r="B501" s="89"/>
      <c r="C501" s="91"/>
    </row>
    <row r="502" spans="1:3" ht="13" x14ac:dyDescent="0.15">
      <c r="A502" s="89"/>
      <c r="B502" s="89"/>
      <c r="C502" s="91"/>
    </row>
    <row r="503" spans="1:3" ht="13" x14ac:dyDescent="0.15">
      <c r="A503" s="89"/>
      <c r="B503" s="89"/>
      <c r="C503" s="91"/>
    </row>
    <row r="504" spans="1:3" ht="13" x14ac:dyDescent="0.15">
      <c r="A504" s="89"/>
      <c r="B504" s="89"/>
      <c r="C504" s="91"/>
    </row>
    <row r="505" spans="1:3" ht="13" x14ac:dyDescent="0.15">
      <c r="A505" s="89"/>
      <c r="B505" s="89"/>
      <c r="C505" s="91"/>
    </row>
    <row r="506" spans="1:3" ht="13" x14ac:dyDescent="0.15">
      <c r="A506" s="89"/>
      <c r="B506" s="89"/>
      <c r="C506" s="91"/>
    </row>
    <row r="507" spans="1:3" ht="13" x14ac:dyDescent="0.15">
      <c r="A507" s="89"/>
      <c r="B507" s="89"/>
      <c r="C507" s="91"/>
    </row>
    <row r="508" spans="1:3" ht="13" x14ac:dyDescent="0.15">
      <c r="A508" s="89"/>
      <c r="B508" s="89"/>
      <c r="C508" s="91"/>
    </row>
    <row r="509" spans="1:3" ht="13" x14ac:dyDescent="0.15">
      <c r="A509" s="89"/>
      <c r="B509" s="89"/>
      <c r="C509" s="91"/>
    </row>
    <row r="510" spans="1:3" ht="13" x14ac:dyDescent="0.15">
      <c r="A510" s="89"/>
      <c r="B510" s="89"/>
      <c r="C510" s="91"/>
    </row>
    <row r="511" spans="1:3" ht="13" x14ac:dyDescent="0.15">
      <c r="A511" s="89"/>
      <c r="B511" s="89"/>
      <c r="C511" s="91"/>
    </row>
    <row r="512" spans="1:3" ht="13" x14ac:dyDescent="0.15">
      <c r="A512" s="89"/>
      <c r="B512" s="89"/>
      <c r="C512" s="91"/>
    </row>
    <row r="513" spans="1:3" ht="13" x14ac:dyDescent="0.15">
      <c r="A513" s="89"/>
      <c r="B513" s="89"/>
      <c r="C513" s="91"/>
    </row>
    <row r="514" spans="1:3" ht="13" x14ac:dyDescent="0.15">
      <c r="A514" s="89"/>
      <c r="B514" s="89"/>
      <c r="C514" s="91"/>
    </row>
    <row r="515" spans="1:3" ht="13" x14ac:dyDescent="0.15">
      <c r="A515" s="89"/>
      <c r="B515" s="89"/>
      <c r="C515" s="91"/>
    </row>
    <row r="516" spans="1:3" ht="13" x14ac:dyDescent="0.15">
      <c r="A516" s="89"/>
      <c r="B516" s="89"/>
      <c r="C516" s="91"/>
    </row>
    <row r="517" spans="1:3" ht="13" x14ac:dyDescent="0.15">
      <c r="A517" s="89"/>
      <c r="B517" s="89"/>
      <c r="C517" s="91"/>
    </row>
    <row r="518" spans="1:3" ht="13" x14ac:dyDescent="0.15">
      <c r="A518" s="89"/>
      <c r="B518" s="89"/>
      <c r="C518" s="91"/>
    </row>
    <row r="519" spans="1:3" ht="13" x14ac:dyDescent="0.15">
      <c r="A519" s="89"/>
      <c r="B519" s="89"/>
      <c r="C519" s="91"/>
    </row>
    <row r="520" spans="1:3" ht="13" x14ac:dyDescent="0.15">
      <c r="A520" s="89"/>
      <c r="B520" s="89"/>
      <c r="C520" s="91"/>
    </row>
    <row r="521" spans="1:3" ht="13" x14ac:dyDescent="0.15">
      <c r="A521" s="89"/>
      <c r="B521" s="89"/>
      <c r="C521" s="91"/>
    </row>
    <row r="522" spans="1:3" ht="13" x14ac:dyDescent="0.15">
      <c r="A522" s="89"/>
      <c r="B522" s="89"/>
      <c r="C522" s="91"/>
    </row>
    <row r="523" spans="1:3" ht="13" x14ac:dyDescent="0.15">
      <c r="A523" s="89"/>
      <c r="B523" s="89"/>
      <c r="C523" s="91"/>
    </row>
    <row r="524" spans="1:3" ht="13" x14ac:dyDescent="0.15">
      <c r="A524" s="89"/>
      <c r="B524" s="89"/>
      <c r="C524" s="91"/>
    </row>
    <row r="525" spans="1:3" ht="13" x14ac:dyDescent="0.15">
      <c r="A525" s="89"/>
      <c r="B525" s="89"/>
      <c r="C525" s="91"/>
    </row>
    <row r="526" spans="1:3" ht="13" x14ac:dyDescent="0.15">
      <c r="A526" s="89"/>
      <c r="B526" s="89"/>
      <c r="C526" s="91"/>
    </row>
    <row r="527" spans="1:3" ht="13" x14ac:dyDescent="0.15">
      <c r="A527" s="89"/>
      <c r="B527" s="89"/>
      <c r="C527" s="91"/>
    </row>
    <row r="528" spans="1:3" ht="13" x14ac:dyDescent="0.15">
      <c r="A528" s="89"/>
      <c r="B528" s="89"/>
      <c r="C528" s="91"/>
    </row>
    <row r="529" spans="1:3" ht="13" x14ac:dyDescent="0.15">
      <c r="A529" s="89"/>
      <c r="B529" s="89"/>
      <c r="C529" s="91"/>
    </row>
    <row r="530" spans="1:3" ht="13" x14ac:dyDescent="0.15">
      <c r="A530" s="89"/>
      <c r="B530" s="89"/>
      <c r="C530" s="91"/>
    </row>
    <row r="531" spans="1:3" ht="13" x14ac:dyDescent="0.15">
      <c r="A531" s="89"/>
      <c r="B531" s="89"/>
      <c r="C531" s="91"/>
    </row>
    <row r="532" spans="1:3" ht="13" x14ac:dyDescent="0.15">
      <c r="A532" s="89"/>
      <c r="B532" s="89"/>
      <c r="C532" s="91"/>
    </row>
    <row r="533" spans="1:3" ht="13" x14ac:dyDescent="0.15">
      <c r="A533" s="89"/>
      <c r="B533" s="89"/>
      <c r="C533" s="91"/>
    </row>
    <row r="534" spans="1:3" ht="13" x14ac:dyDescent="0.15">
      <c r="A534" s="89"/>
      <c r="B534" s="89"/>
      <c r="C534" s="91"/>
    </row>
    <row r="535" spans="1:3" ht="13" x14ac:dyDescent="0.15">
      <c r="A535" s="89"/>
      <c r="B535" s="89"/>
      <c r="C535" s="91"/>
    </row>
    <row r="536" spans="1:3" ht="13" x14ac:dyDescent="0.15">
      <c r="A536" s="89"/>
      <c r="B536" s="89"/>
      <c r="C536" s="91"/>
    </row>
    <row r="537" spans="1:3" ht="13" x14ac:dyDescent="0.15">
      <c r="A537" s="89"/>
      <c r="B537" s="89"/>
      <c r="C537" s="91"/>
    </row>
    <row r="538" spans="1:3" ht="13" x14ac:dyDescent="0.15">
      <c r="A538" s="89"/>
      <c r="B538" s="89"/>
      <c r="C538" s="91"/>
    </row>
    <row r="539" spans="1:3" ht="13" x14ac:dyDescent="0.15">
      <c r="A539" s="89"/>
      <c r="B539" s="89"/>
      <c r="C539" s="91"/>
    </row>
    <row r="540" spans="1:3" ht="13" x14ac:dyDescent="0.15">
      <c r="A540" s="89"/>
      <c r="B540" s="89"/>
      <c r="C540" s="91"/>
    </row>
    <row r="541" spans="1:3" ht="13" x14ac:dyDescent="0.15">
      <c r="A541" s="89"/>
      <c r="B541" s="89"/>
      <c r="C541" s="91"/>
    </row>
    <row r="542" spans="1:3" ht="13" x14ac:dyDescent="0.15">
      <c r="A542" s="89"/>
      <c r="B542" s="89"/>
      <c r="C542" s="91"/>
    </row>
    <row r="543" spans="1:3" ht="13" x14ac:dyDescent="0.15">
      <c r="A543" s="89"/>
      <c r="B543" s="89"/>
      <c r="C543" s="91"/>
    </row>
    <row r="544" spans="1:3" ht="13" x14ac:dyDescent="0.15">
      <c r="A544" s="89"/>
      <c r="B544" s="89"/>
      <c r="C544" s="91"/>
    </row>
    <row r="545" spans="1:3" ht="13" x14ac:dyDescent="0.15">
      <c r="A545" s="89"/>
      <c r="B545" s="89"/>
      <c r="C545" s="91"/>
    </row>
    <row r="546" spans="1:3" ht="13" x14ac:dyDescent="0.15">
      <c r="A546" s="89"/>
      <c r="B546" s="89"/>
      <c r="C546" s="91"/>
    </row>
    <row r="547" spans="1:3" ht="13" x14ac:dyDescent="0.15">
      <c r="A547" s="89"/>
      <c r="B547" s="89"/>
      <c r="C547" s="91"/>
    </row>
    <row r="548" spans="1:3" ht="13" x14ac:dyDescent="0.15">
      <c r="A548" s="89"/>
      <c r="B548" s="89"/>
      <c r="C548" s="91"/>
    </row>
    <row r="549" spans="1:3" ht="13" x14ac:dyDescent="0.15">
      <c r="A549" s="89"/>
      <c r="B549" s="89"/>
      <c r="C549" s="91"/>
    </row>
    <row r="550" spans="1:3" ht="13" x14ac:dyDescent="0.15">
      <c r="A550" s="89"/>
      <c r="B550" s="89"/>
      <c r="C550" s="91"/>
    </row>
    <row r="551" spans="1:3" ht="13" x14ac:dyDescent="0.15">
      <c r="A551" s="89"/>
      <c r="B551" s="89"/>
      <c r="C551" s="91"/>
    </row>
    <row r="552" spans="1:3" ht="13" x14ac:dyDescent="0.15">
      <c r="A552" s="89"/>
      <c r="B552" s="89"/>
      <c r="C552" s="91"/>
    </row>
    <row r="553" spans="1:3" ht="13" x14ac:dyDescent="0.15">
      <c r="A553" s="89"/>
      <c r="B553" s="89"/>
      <c r="C553" s="91"/>
    </row>
    <row r="554" spans="1:3" ht="13" x14ac:dyDescent="0.15">
      <c r="A554" s="89"/>
      <c r="B554" s="89"/>
      <c r="C554" s="91"/>
    </row>
    <row r="555" spans="1:3" ht="13" x14ac:dyDescent="0.15">
      <c r="A555" s="89"/>
      <c r="B555" s="89"/>
      <c r="C555" s="91"/>
    </row>
    <row r="556" spans="1:3" ht="13" x14ac:dyDescent="0.15">
      <c r="A556" s="89"/>
      <c r="B556" s="89"/>
      <c r="C556" s="91"/>
    </row>
    <row r="557" spans="1:3" ht="13" x14ac:dyDescent="0.15">
      <c r="A557" s="89"/>
      <c r="B557" s="89"/>
      <c r="C557" s="91"/>
    </row>
    <row r="558" spans="1:3" ht="13" x14ac:dyDescent="0.15">
      <c r="A558" s="89"/>
      <c r="B558" s="89"/>
      <c r="C558" s="91"/>
    </row>
    <row r="559" spans="1:3" ht="13" x14ac:dyDescent="0.15">
      <c r="A559" s="89"/>
      <c r="B559" s="89"/>
      <c r="C559" s="91"/>
    </row>
    <row r="560" spans="1:3" ht="13" x14ac:dyDescent="0.15">
      <c r="A560" s="89"/>
      <c r="B560" s="89"/>
      <c r="C560" s="91"/>
    </row>
    <row r="561" spans="1:3" ht="13" x14ac:dyDescent="0.15">
      <c r="A561" s="89"/>
      <c r="B561" s="89"/>
      <c r="C561" s="91"/>
    </row>
    <row r="562" spans="1:3" ht="13" x14ac:dyDescent="0.15">
      <c r="A562" s="89"/>
      <c r="B562" s="89"/>
      <c r="C562" s="91"/>
    </row>
    <row r="563" spans="1:3" ht="13" x14ac:dyDescent="0.15">
      <c r="A563" s="89"/>
      <c r="B563" s="89"/>
      <c r="C563" s="91"/>
    </row>
    <row r="564" spans="1:3" ht="13" x14ac:dyDescent="0.15">
      <c r="A564" s="89"/>
      <c r="B564" s="89"/>
      <c r="C564" s="91"/>
    </row>
    <row r="565" spans="1:3" ht="13" x14ac:dyDescent="0.15">
      <c r="A565" s="89"/>
      <c r="B565" s="89"/>
      <c r="C565" s="91"/>
    </row>
    <row r="566" spans="1:3" ht="13" x14ac:dyDescent="0.15">
      <c r="A566" s="89"/>
      <c r="B566" s="89"/>
      <c r="C566" s="91"/>
    </row>
    <row r="567" spans="1:3" ht="13" x14ac:dyDescent="0.15">
      <c r="A567" s="89"/>
      <c r="B567" s="89"/>
      <c r="C567" s="91"/>
    </row>
    <row r="568" spans="1:3" ht="13" x14ac:dyDescent="0.15">
      <c r="A568" s="89"/>
      <c r="B568" s="89"/>
      <c r="C568" s="91"/>
    </row>
    <row r="569" spans="1:3" ht="13" x14ac:dyDescent="0.15">
      <c r="A569" s="89"/>
      <c r="B569" s="89"/>
      <c r="C569" s="91"/>
    </row>
    <row r="570" spans="1:3" ht="13" x14ac:dyDescent="0.15">
      <c r="A570" s="89"/>
      <c r="B570" s="89"/>
      <c r="C570" s="91"/>
    </row>
    <row r="571" spans="1:3" ht="13" x14ac:dyDescent="0.15">
      <c r="A571" s="89"/>
      <c r="B571" s="89"/>
      <c r="C571" s="91"/>
    </row>
    <row r="572" spans="1:3" ht="13" x14ac:dyDescent="0.15">
      <c r="A572" s="89"/>
      <c r="B572" s="89"/>
      <c r="C572" s="91"/>
    </row>
    <row r="573" spans="1:3" ht="13" x14ac:dyDescent="0.15">
      <c r="A573" s="89"/>
      <c r="B573" s="89"/>
      <c r="C573" s="91"/>
    </row>
    <row r="574" spans="1:3" ht="13" x14ac:dyDescent="0.15">
      <c r="A574" s="89"/>
      <c r="B574" s="89"/>
      <c r="C574" s="91"/>
    </row>
    <row r="575" spans="1:3" ht="13" x14ac:dyDescent="0.15">
      <c r="A575" s="89"/>
      <c r="B575" s="89"/>
      <c r="C575" s="91"/>
    </row>
    <row r="576" spans="1:3" ht="13" x14ac:dyDescent="0.15">
      <c r="A576" s="89"/>
      <c r="B576" s="89"/>
      <c r="C576" s="91"/>
    </row>
    <row r="577" spans="1:3" ht="13" x14ac:dyDescent="0.15">
      <c r="A577" s="89"/>
      <c r="B577" s="89"/>
      <c r="C577" s="91"/>
    </row>
    <row r="578" spans="1:3" ht="13" x14ac:dyDescent="0.15">
      <c r="A578" s="89"/>
      <c r="B578" s="89"/>
      <c r="C578" s="91"/>
    </row>
    <row r="579" spans="1:3" ht="13" x14ac:dyDescent="0.15">
      <c r="A579" s="89"/>
      <c r="B579" s="89"/>
      <c r="C579" s="91"/>
    </row>
    <row r="580" spans="1:3" ht="13" x14ac:dyDescent="0.15">
      <c r="A580" s="89"/>
      <c r="B580" s="89"/>
      <c r="C580" s="91"/>
    </row>
    <row r="581" spans="1:3" ht="13" x14ac:dyDescent="0.15">
      <c r="A581" s="89"/>
      <c r="B581" s="89"/>
      <c r="C581" s="91"/>
    </row>
    <row r="582" spans="1:3" ht="13" x14ac:dyDescent="0.15">
      <c r="A582" s="89"/>
      <c r="B582" s="89"/>
      <c r="C582" s="91"/>
    </row>
    <row r="583" spans="1:3" ht="13" x14ac:dyDescent="0.15">
      <c r="A583" s="89"/>
      <c r="B583" s="89"/>
      <c r="C583" s="91"/>
    </row>
    <row r="584" spans="1:3" ht="13" x14ac:dyDescent="0.15">
      <c r="A584" s="89"/>
      <c r="B584" s="89"/>
      <c r="C584" s="91"/>
    </row>
    <row r="585" spans="1:3" ht="13" x14ac:dyDescent="0.15">
      <c r="A585" s="89"/>
      <c r="B585" s="89"/>
      <c r="C585" s="91"/>
    </row>
    <row r="586" spans="1:3" ht="13" x14ac:dyDescent="0.15">
      <c r="A586" s="89"/>
      <c r="B586" s="89"/>
      <c r="C586" s="91"/>
    </row>
    <row r="587" spans="1:3" ht="13" x14ac:dyDescent="0.15">
      <c r="A587" s="89"/>
      <c r="B587" s="89"/>
      <c r="C587" s="91"/>
    </row>
    <row r="588" spans="1:3" ht="13" x14ac:dyDescent="0.15">
      <c r="A588" s="89"/>
      <c r="B588" s="89"/>
      <c r="C588" s="91"/>
    </row>
    <row r="589" spans="1:3" ht="13" x14ac:dyDescent="0.15">
      <c r="A589" s="89"/>
      <c r="B589" s="89"/>
      <c r="C589" s="91"/>
    </row>
    <row r="590" spans="1:3" ht="13" x14ac:dyDescent="0.15">
      <c r="A590" s="89"/>
      <c r="B590" s="89"/>
      <c r="C590" s="91"/>
    </row>
    <row r="591" spans="1:3" ht="13" x14ac:dyDescent="0.15">
      <c r="A591" s="89"/>
      <c r="B591" s="89"/>
      <c r="C591" s="91"/>
    </row>
    <row r="592" spans="1:3" ht="13" x14ac:dyDescent="0.15">
      <c r="A592" s="89"/>
      <c r="B592" s="89"/>
      <c r="C592" s="91"/>
    </row>
    <row r="593" spans="1:3" ht="13" x14ac:dyDescent="0.15">
      <c r="A593" s="89"/>
      <c r="B593" s="89"/>
      <c r="C593" s="91"/>
    </row>
    <row r="594" spans="1:3" ht="13" x14ac:dyDescent="0.15">
      <c r="A594" s="89"/>
      <c r="B594" s="89"/>
      <c r="C594" s="91"/>
    </row>
    <row r="595" spans="1:3" ht="13" x14ac:dyDescent="0.15">
      <c r="A595" s="89"/>
      <c r="B595" s="89"/>
      <c r="C595" s="91"/>
    </row>
    <row r="596" spans="1:3" ht="13" x14ac:dyDescent="0.15">
      <c r="A596" s="89"/>
      <c r="B596" s="89"/>
      <c r="C596" s="91"/>
    </row>
    <row r="597" spans="1:3" ht="13" x14ac:dyDescent="0.15">
      <c r="A597" s="89"/>
      <c r="B597" s="89"/>
      <c r="C597" s="91"/>
    </row>
    <row r="598" spans="1:3" ht="13" x14ac:dyDescent="0.15">
      <c r="A598" s="89"/>
      <c r="B598" s="89"/>
      <c r="C598" s="91"/>
    </row>
    <row r="599" spans="1:3" ht="13" x14ac:dyDescent="0.15">
      <c r="A599" s="89"/>
      <c r="B599" s="89"/>
      <c r="C599" s="91"/>
    </row>
    <row r="600" spans="1:3" ht="13" x14ac:dyDescent="0.15">
      <c r="A600" s="89"/>
      <c r="B600" s="89"/>
      <c r="C600" s="91"/>
    </row>
    <row r="601" spans="1:3" ht="13" x14ac:dyDescent="0.15">
      <c r="A601" s="89"/>
      <c r="B601" s="89"/>
      <c r="C601" s="91"/>
    </row>
    <row r="602" spans="1:3" ht="13" x14ac:dyDescent="0.15">
      <c r="A602" s="89"/>
      <c r="B602" s="89"/>
      <c r="C602" s="91"/>
    </row>
    <row r="603" spans="1:3" ht="13" x14ac:dyDescent="0.15">
      <c r="A603" s="89"/>
      <c r="B603" s="89"/>
      <c r="C603" s="91"/>
    </row>
    <row r="604" spans="1:3" ht="13" x14ac:dyDescent="0.15">
      <c r="A604" s="89"/>
      <c r="B604" s="89"/>
      <c r="C604" s="91"/>
    </row>
    <row r="605" spans="1:3" ht="13" x14ac:dyDescent="0.15">
      <c r="A605" s="89"/>
      <c r="B605" s="89"/>
      <c r="C605" s="91"/>
    </row>
    <row r="606" spans="1:3" ht="13" x14ac:dyDescent="0.15">
      <c r="A606" s="89"/>
      <c r="B606" s="89"/>
      <c r="C606" s="91"/>
    </row>
    <row r="607" spans="1:3" ht="13" x14ac:dyDescent="0.15">
      <c r="A607" s="89"/>
      <c r="B607" s="89"/>
      <c r="C607" s="91"/>
    </row>
    <row r="608" spans="1:3" ht="13" x14ac:dyDescent="0.15">
      <c r="A608" s="89"/>
      <c r="B608" s="89"/>
      <c r="C608" s="91"/>
    </row>
    <row r="609" spans="1:3" ht="13" x14ac:dyDescent="0.15">
      <c r="A609" s="89"/>
      <c r="B609" s="89"/>
      <c r="C609" s="91"/>
    </row>
    <row r="610" spans="1:3" ht="13" x14ac:dyDescent="0.15">
      <c r="A610" s="89"/>
      <c r="B610" s="89"/>
      <c r="C610" s="91"/>
    </row>
    <row r="611" spans="1:3" ht="13" x14ac:dyDescent="0.15">
      <c r="A611" s="89"/>
      <c r="B611" s="89"/>
      <c r="C611" s="91"/>
    </row>
    <row r="612" spans="1:3" ht="13" x14ac:dyDescent="0.15">
      <c r="A612" s="89"/>
      <c r="B612" s="89"/>
      <c r="C612" s="91"/>
    </row>
    <row r="613" spans="1:3" ht="13" x14ac:dyDescent="0.15">
      <c r="A613" s="89"/>
      <c r="B613" s="89"/>
      <c r="C613" s="91"/>
    </row>
    <row r="614" spans="1:3" ht="13" x14ac:dyDescent="0.15">
      <c r="A614" s="89"/>
      <c r="B614" s="89"/>
      <c r="C614" s="91"/>
    </row>
    <row r="615" spans="1:3" ht="13" x14ac:dyDescent="0.15">
      <c r="A615" s="89"/>
      <c r="B615" s="89"/>
      <c r="C615" s="91"/>
    </row>
    <row r="616" spans="1:3" ht="13" x14ac:dyDescent="0.15">
      <c r="A616" s="89"/>
      <c r="B616" s="89"/>
      <c r="C616" s="91"/>
    </row>
    <row r="617" spans="1:3" ht="13" x14ac:dyDescent="0.15">
      <c r="A617" s="89"/>
      <c r="B617" s="89"/>
      <c r="C617" s="91"/>
    </row>
    <row r="618" spans="1:3" ht="13" x14ac:dyDescent="0.15">
      <c r="A618" s="89"/>
      <c r="B618" s="89"/>
      <c r="C618" s="91"/>
    </row>
    <row r="619" spans="1:3" ht="13" x14ac:dyDescent="0.15">
      <c r="A619" s="89"/>
      <c r="B619" s="89"/>
      <c r="C619" s="91"/>
    </row>
    <row r="620" spans="1:3" ht="13" x14ac:dyDescent="0.15">
      <c r="A620" s="89"/>
      <c r="B620" s="89"/>
      <c r="C620" s="91"/>
    </row>
    <row r="621" spans="1:3" ht="13" x14ac:dyDescent="0.15">
      <c r="A621" s="89"/>
      <c r="B621" s="89"/>
      <c r="C621" s="91"/>
    </row>
    <row r="622" spans="1:3" ht="13" x14ac:dyDescent="0.15">
      <c r="A622" s="89"/>
      <c r="B622" s="89"/>
      <c r="C622" s="91"/>
    </row>
    <row r="623" spans="1:3" ht="13" x14ac:dyDescent="0.15">
      <c r="A623" s="89"/>
      <c r="B623" s="89"/>
      <c r="C623" s="91"/>
    </row>
    <row r="624" spans="1:3" ht="13" x14ac:dyDescent="0.15">
      <c r="A624" s="89"/>
      <c r="B624" s="89"/>
      <c r="C624" s="91"/>
    </row>
    <row r="625" spans="1:3" ht="13" x14ac:dyDescent="0.15">
      <c r="A625" s="89"/>
      <c r="B625" s="89"/>
      <c r="C625" s="91"/>
    </row>
    <row r="626" spans="1:3" ht="13" x14ac:dyDescent="0.15">
      <c r="A626" s="89"/>
      <c r="B626" s="89"/>
      <c r="C626" s="91"/>
    </row>
    <row r="627" spans="1:3" ht="13" x14ac:dyDescent="0.15">
      <c r="A627" s="89"/>
      <c r="B627" s="89"/>
      <c r="C627" s="91"/>
    </row>
    <row r="628" spans="1:3" ht="13" x14ac:dyDescent="0.15">
      <c r="A628" s="89"/>
      <c r="B628" s="89"/>
      <c r="C628" s="91"/>
    </row>
    <row r="629" spans="1:3" ht="13" x14ac:dyDescent="0.15">
      <c r="A629" s="89"/>
      <c r="B629" s="89"/>
      <c r="C629" s="91"/>
    </row>
    <row r="630" spans="1:3" ht="13" x14ac:dyDescent="0.15">
      <c r="A630" s="89"/>
      <c r="B630" s="89"/>
      <c r="C630" s="91"/>
    </row>
    <row r="631" spans="1:3" ht="13" x14ac:dyDescent="0.15">
      <c r="A631" s="89"/>
      <c r="B631" s="89"/>
      <c r="C631" s="91"/>
    </row>
    <row r="632" spans="1:3" ht="13" x14ac:dyDescent="0.15">
      <c r="A632" s="89"/>
      <c r="B632" s="89"/>
      <c r="C632" s="91"/>
    </row>
    <row r="633" spans="1:3" ht="13" x14ac:dyDescent="0.15">
      <c r="A633" s="89"/>
      <c r="B633" s="89"/>
      <c r="C633" s="91"/>
    </row>
    <row r="634" spans="1:3" ht="13" x14ac:dyDescent="0.15">
      <c r="A634" s="89"/>
      <c r="B634" s="89"/>
      <c r="C634" s="91"/>
    </row>
    <row r="635" spans="1:3" ht="13" x14ac:dyDescent="0.15">
      <c r="A635" s="89"/>
      <c r="B635" s="89"/>
      <c r="C635" s="91"/>
    </row>
    <row r="636" spans="1:3" ht="13" x14ac:dyDescent="0.15">
      <c r="A636" s="89"/>
      <c r="B636" s="89"/>
      <c r="C636" s="91"/>
    </row>
    <row r="637" spans="1:3" ht="13" x14ac:dyDescent="0.15">
      <c r="A637" s="89"/>
      <c r="B637" s="89"/>
      <c r="C637" s="91"/>
    </row>
    <row r="638" spans="1:3" ht="13" x14ac:dyDescent="0.15">
      <c r="A638" s="89"/>
      <c r="B638" s="89"/>
      <c r="C638" s="91"/>
    </row>
    <row r="639" spans="1:3" ht="13" x14ac:dyDescent="0.15">
      <c r="A639" s="89"/>
      <c r="B639" s="89"/>
      <c r="C639" s="91"/>
    </row>
    <row r="640" spans="1:3" ht="13" x14ac:dyDescent="0.15">
      <c r="A640" s="89"/>
      <c r="B640" s="89"/>
      <c r="C640" s="91"/>
    </row>
    <row r="641" spans="1:3" ht="13" x14ac:dyDescent="0.15">
      <c r="A641" s="89"/>
      <c r="B641" s="89"/>
      <c r="C641" s="91"/>
    </row>
    <row r="642" spans="1:3" ht="13" x14ac:dyDescent="0.15">
      <c r="A642" s="89"/>
      <c r="B642" s="89"/>
      <c r="C642" s="91"/>
    </row>
    <row r="643" spans="1:3" ht="13" x14ac:dyDescent="0.15">
      <c r="A643" s="89"/>
      <c r="B643" s="89"/>
      <c r="C643" s="91"/>
    </row>
    <row r="644" spans="1:3" ht="13" x14ac:dyDescent="0.15">
      <c r="A644" s="89"/>
      <c r="B644" s="89"/>
      <c r="C644" s="91"/>
    </row>
    <row r="645" spans="1:3" ht="13" x14ac:dyDescent="0.15">
      <c r="A645" s="89"/>
      <c r="B645" s="89"/>
      <c r="C645" s="91"/>
    </row>
    <row r="646" spans="1:3" ht="13" x14ac:dyDescent="0.15">
      <c r="A646" s="89"/>
      <c r="B646" s="89"/>
      <c r="C646" s="91"/>
    </row>
    <row r="647" spans="1:3" ht="13" x14ac:dyDescent="0.15">
      <c r="A647" s="89"/>
      <c r="B647" s="89"/>
      <c r="C647" s="91"/>
    </row>
    <row r="648" spans="1:3" ht="13" x14ac:dyDescent="0.15">
      <c r="A648" s="89"/>
      <c r="B648" s="89"/>
      <c r="C648" s="91"/>
    </row>
    <row r="649" spans="1:3" ht="13" x14ac:dyDescent="0.15">
      <c r="A649" s="89"/>
      <c r="B649" s="89"/>
      <c r="C649" s="91"/>
    </row>
    <row r="650" spans="1:3" ht="13" x14ac:dyDescent="0.15">
      <c r="A650" s="89"/>
      <c r="B650" s="89"/>
      <c r="C650" s="91"/>
    </row>
    <row r="651" spans="1:3" ht="13" x14ac:dyDescent="0.15">
      <c r="A651" s="89"/>
      <c r="B651" s="89"/>
      <c r="C651" s="91"/>
    </row>
    <row r="652" spans="1:3" ht="13" x14ac:dyDescent="0.15">
      <c r="A652" s="89"/>
      <c r="B652" s="89"/>
      <c r="C652" s="91"/>
    </row>
    <row r="653" spans="1:3" ht="13" x14ac:dyDescent="0.15">
      <c r="A653" s="89"/>
      <c r="B653" s="89"/>
      <c r="C653" s="91"/>
    </row>
    <row r="654" spans="1:3" ht="13" x14ac:dyDescent="0.15">
      <c r="A654" s="89"/>
      <c r="B654" s="89"/>
      <c r="C654" s="91"/>
    </row>
    <row r="655" spans="1:3" ht="13" x14ac:dyDescent="0.15">
      <c r="A655" s="89"/>
      <c r="B655" s="89"/>
      <c r="C655" s="91"/>
    </row>
    <row r="656" spans="1:3" ht="13" x14ac:dyDescent="0.15">
      <c r="A656" s="89"/>
      <c r="B656" s="89"/>
      <c r="C656" s="91"/>
    </row>
    <row r="657" spans="1:3" ht="13" x14ac:dyDescent="0.15">
      <c r="A657" s="89"/>
      <c r="B657" s="89"/>
      <c r="C657" s="91"/>
    </row>
    <row r="658" spans="1:3" ht="13" x14ac:dyDescent="0.15">
      <c r="A658" s="89"/>
      <c r="B658" s="89"/>
      <c r="C658" s="91"/>
    </row>
    <row r="659" spans="1:3" ht="13" x14ac:dyDescent="0.15">
      <c r="A659" s="89"/>
      <c r="B659" s="89"/>
      <c r="C659" s="91"/>
    </row>
    <row r="660" spans="1:3" ht="13" x14ac:dyDescent="0.15">
      <c r="A660" s="89"/>
      <c r="B660" s="89"/>
      <c r="C660" s="91"/>
    </row>
    <row r="661" spans="1:3" ht="13" x14ac:dyDescent="0.15">
      <c r="A661" s="89"/>
      <c r="B661" s="89"/>
      <c r="C661" s="91"/>
    </row>
    <row r="662" spans="1:3" ht="13" x14ac:dyDescent="0.15">
      <c r="A662" s="89"/>
      <c r="B662" s="89"/>
      <c r="C662" s="91"/>
    </row>
    <row r="663" spans="1:3" ht="13" x14ac:dyDescent="0.15">
      <c r="A663" s="89"/>
      <c r="B663" s="89"/>
      <c r="C663" s="91"/>
    </row>
    <row r="664" spans="1:3" ht="13" x14ac:dyDescent="0.15">
      <c r="A664" s="89"/>
      <c r="B664" s="89"/>
      <c r="C664" s="91"/>
    </row>
    <row r="665" spans="1:3" ht="13" x14ac:dyDescent="0.15">
      <c r="A665" s="89"/>
      <c r="B665" s="89"/>
      <c r="C665" s="91"/>
    </row>
    <row r="666" spans="1:3" ht="13" x14ac:dyDescent="0.15">
      <c r="A666" s="89"/>
      <c r="B666" s="89"/>
      <c r="C666" s="91"/>
    </row>
    <row r="667" spans="1:3" ht="13" x14ac:dyDescent="0.15">
      <c r="A667" s="89"/>
      <c r="B667" s="89"/>
      <c r="C667" s="91"/>
    </row>
    <row r="668" spans="1:3" ht="13" x14ac:dyDescent="0.15">
      <c r="A668" s="89"/>
      <c r="B668" s="89"/>
      <c r="C668" s="91"/>
    </row>
    <row r="669" spans="1:3" ht="13" x14ac:dyDescent="0.15">
      <c r="A669" s="89"/>
      <c r="B669" s="89"/>
      <c r="C669" s="91"/>
    </row>
    <row r="670" spans="1:3" ht="13" x14ac:dyDescent="0.15">
      <c r="A670" s="89"/>
      <c r="B670" s="89"/>
      <c r="C670" s="91"/>
    </row>
    <row r="671" spans="1:3" ht="13" x14ac:dyDescent="0.15">
      <c r="A671" s="89"/>
      <c r="B671" s="89"/>
      <c r="C671" s="91"/>
    </row>
    <row r="672" spans="1:3" ht="13" x14ac:dyDescent="0.15">
      <c r="A672" s="89"/>
      <c r="B672" s="89"/>
      <c r="C672" s="91"/>
    </row>
    <row r="673" spans="1:3" ht="13" x14ac:dyDescent="0.15">
      <c r="A673" s="89"/>
      <c r="B673" s="89"/>
      <c r="C673" s="91"/>
    </row>
    <row r="674" spans="1:3" ht="13" x14ac:dyDescent="0.15">
      <c r="A674" s="89"/>
      <c r="B674" s="89"/>
      <c r="C674" s="91"/>
    </row>
    <row r="675" spans="1:3" ht="13" x14ac:dyDescent="0.15">
      <c r="A675" s="89"/>
      <c r="B675" s="89"/>
      <c r="C675" s="91"/>
    </row>
    <row r="676" spans="1:3" ht="13" x14ac:dyDescent="0.15">
      <c r="A676" s="89"/>
      <c r="B676" s="89"/>
      <c r="C676" s="91"/>
    </row>
    <row r="677" spans="1:3" ht="13" x14ac:dyDescent="0.15">
      <c r="A677" s="89"/>
      <c r="B677" s="89"/>
      <c r="C677" s="91"/>
    </row>
    <row r="678" spans="1:3" ht="13" x14ac:dyDescent="0.15">
      <c r="A678" s="89"/>
      <c r="B678" s="89"/>
      <c r="C678" s="91"/>
    </row>
    <row r="679" spans="1:3" ht="13" x14ac:dyDescent="0.15">
      <c r="A679" s="89"/>
      <c r="B679" s="89"/>
      <c r="C679" s="91"/>
    </row>
    <row r="680" spans="1:3" ht="13" x14ac:dyDescent="0.15">
      <c r="A680" s="89"/>
      <c r="B680" s="89"/>
      <c r="C680" s="91"/>
    </row>
    <row r="681" spans="1:3" ht="13" x14ac:dyDescent="0.15">
      <c r="A681" s="89"/>
      <c r="B681" s="89"/>
      <c r="C681" s="91"/>
    </row>
    <row r="682" spans="1:3" ht="13" x14ac:dyDescent="0.15">
      <c r="A682" s="89"/>
      <c r="B682" s="89"/>
      <c r="C682" s="91"/>
    </row>
    <row r="683" spans="1:3" ht="13" x14ac:dyDescent="0.15">
      <c r="A683" s="89"/>
      <c r="B683" s="89"/>
      <c r="C683" s="91"/>
    </row>
    <row r="684" spans="1:3" ht="13" x14ac:dyDescent="0.15">
      <c r="A684" s="89"/>
      <c r="B684" s="89"/>
      <c r="C684" s="91"/>
    </row>
    <row r="685" spans="1:3" ht="13" x14ac:dyDescent="0.15">
      <c r="A685" s="89"/>
      <c r="B685" s="89"/>
      <c r="C685" s="91"/>
    </row>
    <row r="686" spans="1:3" ht="13" x14ac:dyDescent="0.15">
      <c r="A686" s="89"/>
      <c r="B686" s="89"/>
      <c r="C686" s="91"/>
    </row>
    <row r="687" spans="1:3" ht="13" x14ac:dyDescent="0.15">
      <c r="A687" s="89"/>
      <c r="B687" s="89"/>
      <c r="C687" s="91"/>
    </row>
    <row r="688" spans="1:3" ht="13" x14ac:dyDescent="0.15">
      <c r="A688" s="89"/>
      <c r="B688" s="89"/>
      <c r="C688" s="91"/>
    </row>
    <row r="689" spans="1:3" ht="13" x14ac:dyDescent="0.15">
      <c r="A689" s="89"/>
      <c r="B689" s="89"/>
      <c r="C689" s="91"/>
    </row>
    <row r="690" spans="1:3" ht="13" x14ac:dyDescent="0.15">
      <c r="A690" s="89"/>
      <c r="B690" s="89"/>
      <c r="C690" s="91"/>
    </row>
    <row r="691" spans="1:3" ht="13" x14ac:dyDescent="0.15">
      <c r="A691" s="89"/>
      <c r="B691" s="89"/>
      <c r="C691" s="91"/>
    </row>
    <row r="692" spans="1:3" ht="13" x14ac:dyDescent="0.15">
      <c r="A692" s="89"/>
      <c r="B692" s="89"/>
      <c r="C692" s="91"/>
    </row>
    <row r="693" spans="1:3" ht="13" x14ac:dyDescent="0.15">
      <c r="A693" s="89"/>
      <c r="B693" s="89"/>
      <c r="C693" s="91"/>
    </row>
    <row r="694" spans="1:3" ht="13" x14ac:dyDescent="0.15">
      <c r="A694" s="89"/>
      <c r="B694" s="89"/>
      <c r="C694" s="91"/>
    </row>
    <row r="695" spans="1:3" ht="13" x14ac:dyDescent="0.15">
      <c r="A695" s="89"/>
      <c r="B695" s="89"/>
      <c r="C695" s="91"/>
    </row>
    <row r="696" spans="1:3" ht="13" x14ac:dyDescent="0.15">
      <c r="A696" s="89"/>
      <c r="B696" s="89"/>
      <c r="C696" s="91"/>
    </row>
    <row r="697" spans="1:3" ht="13" x14ac:dyDescent="0.15">
      <c r="A697" s="89"/>
      <c r="B697" s="89"/>
      <c r="C697" s="91"/>
    </row>
    <row r="698" spans="1:3" ht="13" x14ac:dyDescent="0.15">
      <c r="A698" s="89"/>
      <c r="B698" s="89"/>
      <c r="C698" s="91"/>
    </row>
    <row r="699" spans="1:3" ht="13" x14ac:dyDescent="0.15">
      <c r="A699" s="89"/>
      <c r="B699" s="89"/>
      <c r="C699" s="91"/>
    </row>
    <row r="700" spans="1:3" ht="13" x14ac:dyDescent="0.15">
      <c r="A700" s="89"/>
      <c r="B700" s="89"/>
      <c r="C700" s="91"/>
    </row>
    <row r="701" spans="1:3" ht="13" x14ac:dyDescent="0.15">
      <c r="A701" s="89"/>
      <c r="B701" s="89"/>
      <c r="C701" s="91"/>
    </row>
    <row r="702" spans="1:3" ht="13" x14ac:dyDescent="0.15">
      <c r="A702" s="89"/>
      <c r="B702" s="89"/>
      <c r="C702" s="91"/>
    </row>
    <row r="703" spans="1:3" ht="13" x14ac:dyDescent="0.15">
      <c r="A703" s="89"/>
      <c r="B703" s="89"/>
      <c r="C703" s="91"/>
    </row>
    <row r="704" spans="1:3" ht="13" x14ac:dyDescent="0.15">
      <c r="A704" s="89"/>
      <c r="B704" s="89"/>
      <c r="C704" s="91"/>
    </row>
    <row r="705" spans="1:3" ht="13" x14ac:dyDescent="0.15">
      <c r="A705" s="89"/>
      <c r="B705" s="89"/>
      <c r="C705" s="91"/>
    </row>
    <row r="706" spans="1:3" ht="13" x14ac:dyDescent="0.15">
      <c r="A706" s="89"/>
      <c r="B706" s="89"/>
      <c r="C706" s="91"/>
    </row>
    <row r="707" spans="1:3" ht="13" x14ac:dyDescent="0.15">
      <c r="A707" s="89"/>
      <c r="B707" s="89"/>
      <c r="C707" s="91"/>
    </row>
    <row r="708" spans="1:3" ht="13" x14ac:dyDescent="0.15">
      <c r="A708" s="89"/>
      <c r="B708" s="89"/>
      <c r="C708" s="91"/>
    </row>
    <row r="709" spans="1:3" ht="13" x14ac:dyDescent="0.15">
      <c r="A709" s="89"/>
      <c r="B709" s="89"/>
      <c r="C709" s="91"/>
    </row>
    <row r="710" spans="1:3" ht="13" x14ac:dyDescent="0.15">
      <c r="A710" s="89"/>
      <c r="B710" s="89"/>
      <c r="C710" s="91"/>
    </row>
    <row r="711" spans="1:3" ht="13" x14ac:dyDescent="0.15">
      <c r="A711" s="89"/>
      <c r="B711" s="89"/>
      <c r="C711" s="91"/>
    </row>
    <row r="712" spans="1:3" ht="13" x14ac:dyDescent="0.15">
      <c r="A712" s="89"/>
      <c r="B712" s="89"/>
      <c r="C712" s="91"/>
    </row>
    <row r="713" spans="1:3" ht="13" x14ac:dyDescent="0.15">
      <c r="A713" s="89"/>
      <c r="B713" s="89"/>
      <c r="C713" s="91"/>
    </row>
    <row r="714" spans="1:3" ht="13" x14ac:dyDescent="0.15">
      <c r="A714" s="89"/>
      <c r="B714" s="89"/>
      <c r="C714" s="91"/>
    </row>
    <row r="715" spans="1:3" ht="13" x14ac:dyDescent="0.15">
      <c r="A715" s="89"/>
      <c r="B715" s="89"/>
      <c r="C715" s="91"/>
    </row>
    <row r="716" spans="1:3" ht="13" x14ac:dyDescent="0.15">
      <c r="A716" s="89"/>
      <c r="B716" s="89"/>
      <c r="C716" s="91"/>
    </row>
    <row r="717" spans="1:3" ht="13" x14ac:dyDescent="0.15">
      <c r="A717" s="89"/>
      <c r="B717" s="89"/>
      <c r="C717" s="91"/>
    </row>
    <row r="718" spans="1:3" ht="13" x14ac:dyDescent="0.15">
      <c r="A718" s="89"/>
      <c r="B718" s="89"/>
      <c r="C718" s="91"/>
    </row>
    <row r="719" spans="1:3" ht="13" x14ac:dyDescent="0.15">
      <c r="A719" s="89"/>
      <c r="B719" s="89"/>
      <c r="C719" s="91"/>
    </row>
    <row r="720" spans="1:3" ht="13" x14ac:dyDescent="0.15">
      <c r="A720" s="89"/>
      <c r="B720" s="89"/>
      <c r="C720" s="91"/>
    </row>
    <row r="721" spans="1:3" ht="13" x14ac:dyDescent="0.15">
      <c r="A721" s="89"/>
      <c r="B721" s="89"/>
      <c r="C721" s="91"/>
    </row>
    <row r="722" spans="1:3" ht="13" x14ac:dyDescent="0.15">
      <c r="A722" s="89"/>
      <c r="B722" s="89"/>
      <c r="C722" s="91"/>
    </row>
    <row r="723" spans="1:3" ht="13" x14ac:dyDescent="0.15">
      <c r="A723" s="89"/>
      <c r="B723" s="89"/>
      <c r="C723" s="91"/>
    </row>
    <row r="724" spans="1:3" ht="13" x14ac:dyDescent="0.15">
      <c r="A724" s="89"/>
      <c r="B724" s="89"/>
      <c r="C724" s="91"/>
    </row>
    <row r="725" spans="1:3" ht="13" x14ac:dyDescent="0.15">
      <c r="A725" s="89"/>
      <c r="B725" s="89"/>
      <c r="C725" s="91"/>
    </row>
    <row r="726" spans="1:3" ht="13" x14ac:dyDescent="0.15">
      <c r="A726" s="89"/>
      <c r="B726" s="89"/>
      <c r="C726" s="91"/>
    </row>
    <row r="727" spans="1:3" ht="13" x14ac:dyDescent="0.15">
      <c r="A727" s="89"/>
      <c r="B727" s="89"/>
      <c r="C727" s="91"/>
    </row>
    <row r="728" spans="1:3" ht="13" x14ac:dyDescent="0.15">
      <c r="A728" s="89"/>
      <c r="B728" s="89"/>
      <c r="C728" s="91"/>
    </row>
    <row r="729" spans="1:3" ht="13" x14ac:dyDescent="0.15">
      <c r="A729" s="89"/>
      <c r="B729" s="89"/>
      <c r="C729" s="91"/>
    </row>
    <row r="730" spans="1:3" ht="13" x14ac:dyDescent="0.15">
      <c r="A730" s="89"/>
      <c r="B730" s="89"/>
      <c r="C730" s="91"/>
    </row>
    <row r="731" spans="1:3" ht="13" x14ac:dyDescent="0.15">
      <c r="A731" s="89"/>
      <c r="B731" s="89"/>
      <c r="C731" s="91"/>
    </row>
    <row r="732" spans="1:3" ht="13" x14ac:dyDescent="0.15">
      <c r="A732" s="89"/>
      <c r="B732" s="89"/>
      <c r="C732" s="91"/>
    </row>
    <row r="733" spans="1:3" ht="13" x14ac:dyDescent="0.15">
      <c r="A733" s="89"/>
      <c r="B733" s="89"/>
      <c r="C733" s="91"/>
    </row>
    <row r="734" spans="1:3" ht="13" x14ac:dyDescent="0.15">
      <c r="A734" s="89"/>
      <c r="B734" s="89"/>
      <c r="C734" s="91"/>
    </row>
    <row r="735" spans="1:3" ht="13" x14ac:dyDescent="0.15">
      <c r="A735" s="89"/>
      <c r="B735" s="89"/>
      <c r="C735" s="91"/>
    </row>
    <row r="736" spans="1:3" ht="13" x14ac:dyDescent="0.15">
      <c r="A736" s="89"/>
      <c r="B736" s="89"/>
      <c r="C736" s="91"/>
    </row>
    <row r="737" spans="1:3" ht="13" x14ac:dyDescent="0.15">
      <c r="A737" s="89"/>
      <c r="B737" s="89"/>
      <c r="C737" s="91"/>
    </row>
    <row r="738" spans="1:3" ht="13" x14ac:dyDescent="0.15">
      <c r="A738" s="89"/>
      <c r="B738" s="89"/>
      <c r="C738" s="91"/>
    </row>
    <row r="739" spans="1:3" ht="13" x14ac:dyDescent="0.15">
      <c r="A739" s="89"/>
      <c r="B739" s="89"/>
      <c r="C739" s="91"/>
    </row>
    <row r="740" spans="1:3" ht="13" x14ac:dyDescent="0.15">
      <c r="A740" s="89"/>
      <c r="B740" s="89"/>
      <c r="C740" s="91"/>
    </row>
    <row r="741" spans="1:3" ht="13" x14ac:dyDescent="0.15">
      <c r="A741" s="89"/>
      <c r="B741" s="89"/>
      <c r="C741" s="91"/>
    </row>
    <row r="742" spans="1:3" ht="13" x14ac:dyDescent="0.15">
      <c r="A742" s="89"/>
      <c r="B742" s="89"/>
      <c r="C742" s="91"/>
    </row>
    <row r="743" spans="1:3" ht="13" x14ac:dyDescent="0.15">
      <c r="A743" s="89"/>
      <c r="B743" s="89"/>
      <c r="C743" s="91"/>
    </row>
    <row r="744" spans="1:3" ht="13" x14ac:dyDescent="0.15">
      <c r="A744" s="89"/>
      <c r="B744" s="89"/>
      <c r="C744" s="91"/>
    </row>
    <row r="745" spans="1:3" ht="13" x14ac:dyDescent="0.15">
      <c r="A745" s="89"/>
      <c r="B745" s="89"/>
      <c r="C745" s="91"/>
    </row>
    <row r="746" spans="1:3" ht="13" x14ac:dyDescent="0.15">
      <c r="A746" s="89"/>
      <c r="B746" s="89"/>
      <c r="C746" s="91"/>
    </row>
    <row r="747" spans="1:3" ht="13" x14ac:dyDescent="0.15">
      <c r="A747" s="89"/>
      <c r="B747" s="89"/>
      <c r="C747" s="91"/>
    </row>
    <row r="748" spans="1:3" ht="13" x14ac:dyDescent="0.15">
      <c r="A748" s="89"/>
      <c r="B748" s="89"/>
      <c r="C748" s="91"/>
    </row>
    <row r="749" spans="1:3" ht="13" x14ac:dyDescent="0.15">
      <c r="A749" s="89"/>
      <c r="B749" s="89"/>
      <c r="C749" s="91"/>
    </row>
    <row r="750" spans="1:3" ht="13" x14ac:dyDescent="0.15">
      <c r="A750" s="89"/>
      <c r="B750" s="89"/>
      <c r="C750" s="91"/>
    </row>
    <row r="751" spans="1:3" ht="13" x14ac:dyDescent="0.15">
      <c r="A751" s="89"/>
      <c r="B751" s="89"/>
      <c r="C751" s="91"/>
    </row>
    <row r="752" spans="1:3" ht="13" x14ac:dyDescent="0.15">
      <c r="A752" s="89"/>
      <c r="B752" s="89"/>
      <c r="C752" s="91"/>
    </row>
    <row r="753" spans="1:3" ht="13" x14ac:dyDescent="0.15">
      <c r="A753" s="89"/>
      <c r="B753" s="89"/>
      <c r="C753" s="91"/>
    </row>
    <row r="754" spans="1:3" ht="13" x14ac:dyDescent="0.15">
      <c r="A754" s="89"/>
      <c r="B754" s="89"/>
      <c r="C754" s="91"/>
    </row>
    <row r="755" spans="1:3" ht="13" x14ac:dyDescent="0.15">
      <c r="A755" s="89"/>
      <c r="B755" s="89"/>
      <c r="C755" s="91"/>
    </row>
    <row r="756" spans="1:3" ht="13" x14ac:dyDescent="0.15">
      <c r="A756" s="89"/>
      <c r="B756" s="89"/>
      <c r="C756" s="91"/>
    </row>
    <row r="757" spans="1:3" ht="13" x14ac:dyDescent="0.15">
      <c r="A757" s="89"/>
      <c r="B757" s="89"/>
      <c r="C757" s="91"/>
    </row>
    <row r="758" spans="1:3" ht="13" x14ac:dyDescent="0.15">
      <c r="A758" s="89"/>
      <c r="B758" s="89"/>
      <c r="C758" s="91"/>
    </row>
    <row r="759" spans="1:3" ht="13" x14ac:dyDescent="0.15">
      <c r="A759" s="89"/>
      <c r="B759" s="89"/>
      <c r="C759" s="91"/>
    </row>
    <row r="760" spans="1:3" ht="13" x14ac:dyDescent="0.15">
      <c r="A760" s="89"/>
      <c r="B760" s="89"/>
      <c r="C760" s="91"/>
    </row>
    <row r="761" spans="1:3" ht="13" x14ac:dyDescent="0.15">
      <c r="A761" s="89"/>
      <c r="B761" s="89"/>
      <c r="C761" s="91"/>
    </row>
    <row r="762" spans="1:3" ht="13" x14ac:dyDescent="0.15">
      <c r="A762" s="89"/>
      <c r="B762" s="89"/>
      <c r="C762" s="91"/>
    </row>
    <row r="763" spans="1:3" ht="13" x14ac:dyDescent="0.15">
      <c r="A763" s="89"/>
      <c r="B763" s="89"/>
      <c r="C763" s="91"/>
    </row>
    <row r="764" spans="1:3" ht="13" x14ac:dyDescent="0.15">
      <c r="A764" s="89"/>
      <c r="B764" s="89"/>
      <c r="C764" s="91"/>
    </row>
    <row r="765" spans="1:3" ht="13" x14ac:dyDescent="0.15">
      <c r="A765" s="89"/>
      <c r="B765" s="89"/>
      <c r="C765" s="91"/>
    </row>
    <row r="766" spans="1:3" ht="13" x14ac:dyDescent="0.15">
      <c r="A766" s="89"/>
      <c r="B766" s="89"/>
      <c r="C766" s="91"/>
    </row>
    <row r="767" spans="1:3" ht="13" x14ac:dyDescent="0.15">
      <c r="A767" s="89"/>
      <c r="B767" s="89"/>
      <c r="C767" s="91"/>
    </row>
    <row r="768" spans="1:3" ht="13" x14ac:dyDescent="0.15">
      <c r="A768" s="89"/>
      <c r="B768" s="89"/>
      <c r="C768" s="91"/>
    </row>
    <row r="769" spans="1:3" ht="13" x14ac:dyDescent="0.15">
      <c r="A769" s="89"/>
      <c r="B769" s="89"/>
      <c r="C769" s="91"/>
    </row>
    <row r="770" spans="1:3" ht="13" x14ac:dyDescent="0.15">
      <c r="A770" s="89"/>
      <c r="B770" s="89"/>
      <c r="C770" s="91"/>
    </row>
    <row r="771" spans="1:3" ht="13" x14ac:dyDescent="0.15">
      <c r="A771" s="89"/>
      <c r="B771" s="89"/>
      <c r="C771" s="91"/>
    </row>
    <row r="772" spans="1:3" ht="13" x14ac:dyDescent="0.15">
      <c r="A772" s="89"/>
      <c r="B772" s="89"/>
      <c r="C772" s="91"/>
    </row>
    <row r="773" spans="1:3" ht="13" x14ac:dyDescent="0.15">
      <c r="A773" s="89"/>
      <c r="B773" s="89"/>
      <c r="C773" s="91"/>
    </row>
    <row r="774" spans="1:3" ht="13" x14ac:dyDescent="0.15">
      <c r="A774" s="89"/>
      <c r="B774" s="89"/>
      <c r="C774" s="91"/>
    </row>
    <row r="775" spans="1:3" ht="13" x14ac:dyDescent="0.15">
      <c r="A775" s="89"/>
      <c r="B775" s="89"/>
      <c r="C775" s="91"/>
    </row>
    <row r="776" spans="1:3" ht="13" x14ac:dyDescent="0.15">
      <c r="A776" s="89"/>
      <c r="B776" s="89"/>
      <c r="C776" s="91"/>
    </row>
    <row r="777" spans="1:3" ht="13" x14ac:dyDescent="0.15">
      <c r="A777" s="89"/>
      <c r="B777" s="89"/>
      <c r="C777" s="91"/>
    </row>
    <row r="778" spans="1:3" ht="13" x14ac:dyDescent="0.15">
      <c r="A778" s="89"/>
      <c r="B778" s="89"/>
      <c r="C778" s="91"/>
    </row>
    <row r="779" spans="1:3" ht="13" x14ac:dyDescent="0.15">
      <c r="A779" s="89"/>
      <c r="B779" s="89"/>
      <c r="C779" s="91"/>
    </row>
    <row r="780" spans="1:3" ht="13" x14ac:dyDescent="0.15">
      <c r="A780" s="89"/>
      <c r="B780" s="89"/>
      <c r="C780" s="91"/>
    </row>
    <row r="781" spans="1:3" ht="13" x14ac:dyDescent="0.15">
      <c r="A781" s="89"/>
      <c r="B781" s="89"/>
      <c r="C781" s="91"/>
    </row>
    <row r="782" spans="1:3" ht="13" x14ac:dyDescent="0.15">
      <c r="A782" s="89"/>
      <c r="B782" s="89"/>
      <c r="C782" s="91"/>
    </row>
    <row r="783" spans="1:3" ht="13" x14ac:dyDescent="0.15">
      <c r="A783" s="89"/>
      <c r="B783" s="89"/>
      <c r="C783" s="91"/>
    </row>
    <row r="784" spans="1:3" ht="13" x14ac:dyDescent="0.15">
      <c r="A784" s="89"/>
      <c r="B784" s="89"/>
      <c r="C784" s="91"/>
    </row>
    <row r="785" spans="1:3" ht="13" x14ac:dyDescent="0.15">
      <c r="A785" s="89"/>
      <c r="B785" s="89"/>
      <c r="C785" s="91"/>
    </row>
    <row r="786" spans="1:3" ht="13" x14ac:dyDescent="0.15">
      <c r="A786" s="89"/>
      <c r="B786" s="89"/>
      <c r="C786" s="91"/>
    </row>
    <row r="787" spans="1:3" ht="13" x14ac:dyDescent="0.15">
      <c r="A787" s="89"/>
      <c r="B787" s="89"/>
      <c r="C787" s="91"/>
    </row>
    <row r="788" spans="1:3" ht="13" x14ac:dyDescent="0.15">
      <c r="A788" s="89"/>
      <c r="B788" s="89"/>
      <c r="C788" s="91"/>
    </row>
    <row r="789" spans="1:3" ht="13" x14ac:dyDescent="0.15">
      <c r="A789" s="89"/>
      <c r="B789" s="89"/>
      <c r="C789" s="91"/>
    </row>
    <row r="790" spans="1:3" ht="13" x14ac:dyDescent="0.15">
      <c r="A790" s="89"/>
      <c r="B790" s="89"/>
      <c r="C790" s="91"/>
    </row>
    <row r="791" spans="1:3" ht="13" x14ac:dyDescent="0.15">
      <c r="A791" s="89"/>
      <c r="B791" s="89"/>
      <c r="C791" s="91"/>
    </row>
    <row r="792" spans="1:3" ht="13" x14ac:dyDescent="0.15">
      <c r="A792" s="89"/>
      <c r="B792" s="89"/>
      <c r="C792" s="91"/>
    </row>
    <row r="793" spans="1:3" ht="13" x14ac:dyDescent="0.15">
      <c r="A793" s="89"/>
      <c r="B793" s="89"/>
      <c r="C793" s="91"/>
    </row>
    <row r="794" spans="1:3" ht="13" x14ac:dyDescent="0.15">
      <c r="A794" s="89"/>
      <c r="B794" s="89"/>
      <c r="C794" s="91"/>
    </row>
    <row r="795" spans="1:3" ht="13" x14ac:dyDescent="0.15">
      <c r="A795" s="89"/>
      <c r="B795" s="89"/>
      <c r="C795" s="91"/>
    </row>
    <row r="796" spans="1:3" ht="13" x14ac:dyDescent="0.15">
      <c r="A796" s="89"/>
      <c r="B796" s="89"/>
      <c r="C796" s="91"/>
    </row>
    <row r="797" spans="1:3" ht="13" x14ac:dyDescent="0.15">
      <c r="A797" s="89"/>
      <c r="B797" s="89"/>
      <c r="C797" s="91"/>
    </row>
    <row r="798" spans="1:3" ht="13" x14ac:dyDescent="0.15">
      <c r="A798" s="89"/>
      <c r="B798" s="89"/>
      <c r="C798" s="91"/>
    </row>
    <row r="799" spans="1:3" ht="13" x14ac:dyDescent="0.15">
      <c r="A799" s="89"/>
      <c r="B799" s="89"/>
      <c r="C799" s="91"/>
    </row>
    <row r="800" spans="1:3" ht="13" x14ac:dyDescent="0.15">
      <c r="A800" s="89"/>
      <c r="B800" s="89"/>
      <c r="C800" s="91"/>
    </row>
    <row r="801" spans="1:3" ht="13" x14ac:dyDescent="0.15">
      <c r="A801" s="89"/>
      <c r="B801" s="89"/>
      <c r="C801" s="91"/>
    </row>
    <row r="802" spans="1:3" ht="13" x14ac:dyDescent="0.15">
      <c r="A802" s="89"/>
      <c r="B802" s="89"/>
      <c r="C802" s="91"/>
    </row>
    <row r="803" spans="1:3" ht="13" x14ac:dyDescent="0.15">
      <c r="A803" s="89"/>
      <c r="B803" s="89"/>
      <c r="C803" s="91"/>
    </row>
    <row r="804" spans="1:3" ht="13" x14ac:dyDescent="0.15">
      <c r="A804" s="89"/>
      <c r="B804" s="89"/>
      <c r="C804" s="91"/>
    </row>
    <row r="805" spans="1:3" ht="13" x14ac:dyDescent="0.15">
      <c r="A805" s="89"/>
      <c r="B805" s="89"/>
      <c r="C805" s="91"/>
    </row>
    <row r="806" spans="1:3" ht="13" x14ac:dyDescent="0.15">
      <c r="A806" s="89"/>
      <c r="B806" s="89"/>
      <c r="C806" s="91"/>
    </row>
    <row r="807" spans="1:3" ht="13" x14ac:dyDescent="0.15">
      <c r="A807" s="89"/>
      <c r="B807" s="89"/>
      <c r="C807" s="91"/>
    </row>
    <row r="808" spans="1:3" ht="13" x14ac:dyDescent="0.15">
      <c r="A808" s="89"/>
      <c r="B808" s="89"/>
      <c r="C808" s="91"/>
    </row>
    <row r="809" spans="1:3" ht="13" x14ac:dyDescent="0.15">
      <c r="A809" s="89"/>
      <c r="B809" s="89"/>
      <c r="C809" s="91"/>
    </row>
    <row r="810" spans="1:3" ht="13" x14ac:dyDescent="0.15">
      <c r="A810" s="89"/>
      <c r="B810" s="89"/>
      <c r="C810" s="91"/>
    </row>
    <row r="811" spans="1:3" ht="13" x14ac:dyDescent="0.15">
      <c r="A811" s="89"/>
      <c r="B811" s="89"/>
      <c r="C811" s="91"/>
    </row>
    <row r="812" spans="1:3" ht="13" x14ac:dyDescent="0.15">
      <c r="A812" s="89"/>
      <c r="B812" s="89"/>
      <c r="C812" s="91"/>
    </row>
    <row r="813" spans="1:3" ht="13" x14ac:dyDescent="0.15">
      <c r="A813" s="89"/>
      <c r="B813" s="89"/>
      <c r="C813" s="91"/>
    </row>
    <row r="814" spans="1:3" ht="13" x14ac:dyDescent="0.15">
      <c r="A814" s="89"/>
      <c r="B814" s="89"/>
      <c r="C814" s="91"/>
    </row>
    <row r="815" spans="1:3" ht="13" x14ac:dyDescent="0.15">
      <c r="A815" s="89"/>
      <c r="B815" s="89"/>
      <c r="C815" s="91"/>
    </row>
    <row r="816" spans="1:3" ht="13" x14ac:dyDescent="0.15">
      <c r="A816" s="89"/>
      <c r="B816" s="89"/>
      <c r="C816" s="91"/>
    </row>
    <row r="817" spans="1:3" ht="13" x14ac:dyDescent="0.15">
      <c r="A817" s="89"/>
      <c r="B817" s="89"/>
      <c r="C817" s="91"/>
    </row>
    <row r="818" spans="1:3" ht="13" x14ac:dyDescent="0.15">
      <c r="A818" s="89"/>
      <c r="B818" s="89"/>
      <c r="C818" s="91"/>
    </row>
    <row r="819" spans="1:3" ht="13" x14ac:dyDescent="0.15">
      <c r="A819" s="89"/>
      <c r="B819" s="89"/>
      <c r="C819" s="91"/>
    </row>
    <row r="820" spans="1:3" ht="13" x14ac:dyDescent="0.15">
      <c r="A820" s="89"/>
      <c r="B820" s="89"/>
      <c r="C820" s="91"/>
    </row>
    <row r="821" spans="1:3" ht="13" x14ac:dyDescent="0.15">
      <c r="A821" s="89"/>
      <c r="B821" s="89"/>
      <c r="C821" s="91"/>
    </row>
    <row r="822" spans="1:3" ht="13" x14ac:dyDescent="0.15">
      <c r="A822" s="89"/>
      <c r="B822" s="89"/>
      <c r="C822" s="91"/>
    </row>
    <row r="823" spans="1:3" ht="13" x14ac:dyDescent="0.15">
      <c r="A823" s="89"/>
      <c r="B823" s="89"/>
      <c r="C823" s="91"/>
    </row>
    <row r="824" spans="1:3" ht="13" x14ac:dyDescent="0.15">
      <c r="A824" s="89"/>
      <c r="B824" s="89"/>
      <c r="C824" s="91"/>
    </row>
    <row r="825" spans="1:3" ht="13" x14ac:dyDescent="0.15">
      <c r="A825" s="89"/>
      <c r="B825" s="89"/>
      <c r="C825" s="91"/>
    </row>
    <row r="826" spans="1:3" ht="13" x14ac:dyDescent="0.15">
      <c r="A826" s="89"/>
      <c r="B826" s="89"/>
      <c r="C826" s="91"/>
    </row>
    <row r="827" spans="1:3" ht="13" x14ac:dyDescent="0.15">
      <c r="A827" s="89"/>
      <c r="B827" s="89"/>
      <c r="C827" s="91"/>
    </row>
    <row r="828" spans="1:3" ht="13" x14ac:dyDescent="0.15">
      <c r="A828" s="89"/>
      <c r="B828" s="89"/>
      <c r="C828" s="91"/>
    </row>
    <row r="829" spans="1:3" ht="13" x14ac:dyDescent="0.15">
      <c r="A829" s="89"/>
      <c r="B829" s="89"/>
      <c r="C829" s="91"/>
    </row>
    <row r="830" spans="1:3" ht="13" x14ac:dyDescent="0.15">
      <c r="A830" s="89"/>
      <c r="B830" s="89"/>
      <c r="C830" s="91"/>
    </row>
    <row r="831" spans="1:3" ht="13" x14ac:dyDescent="0.15">
      <c r="A831" s="89"/>
      <c r="B831" s="89"/>
      <c r="C831" s="91"/>
    </row>
    <row r="832" spans="1:3" ht="13" x14ac:dyDescent="0.15">
      <c r="A832" s="89"/>
      <c r="B832" s="89"/>
      <c r="C832" s="91"/>
    </row>
    <row r="833" spans="1:3" ht="13" x14ac:dyDescent="0.15">
      <c r="A833" s="89"/>
      <c r="B833" s="89"/>
      <c r="C833" s="91"/>
    </row>
    <row r="834" spans="1:3" ht="13" x14ac:dyDescent="0.15">
      <c r="A834" s="89"/>
      <c r="B834" s="89"/>
      <c r="C834" s="91"/>
    </row>
    <row r="835" spans="1:3" ht="13" x14ac:dyDescent="0.15">
      <c r="A835" s="89"/>
      <c r="B835" s="89"/>
      <c r="C835" s="91"/>
    </row>
    <row r="836" spans="1:3" ht="13" x14ac:dyDescent="0.15">
      <c r="A836" s="89"/>
      <c r="B836" s="89"/>
      <c r="C836" s="91"/>
    </row>
    <row r="837" spans="1:3" ht="13" x14ac:dyDescent="0.15">
      <c r="A837" s="89"/>
      <c r="B837" s="89"/>
      <c r="C837" s="91"/>
    </row>
    <row r="838" spans="1:3" ht="13" x14ac:dyDescent="0.15">
      <c r="A838" s="89"/>
      <c r="B838" s="89"/>
      <c r="C838" s="91"/>
    </row>
    <row r="839" spans="1:3" ht="13" x14ac:dyDescent="0.15">
      <c r="A839" s="89"/>
      <c r="B839" s="89"/>
      <c r="C839" s="91"/>
    </row>
    <row r="840" spans="1:3" ht="13" x14ac:dyDescent="0.15">
      <c r="A840" s="89"/>
      <c r="B840" s="89"/>
      <c r="C840" s="91"/>
    </row>
    <row r="841" spans="1:3" ht="13" x14ac:dyDescent="0.15">
      <c r="A841" s="89"/>
      <c r="B841" s="89"/>
      <c r="C841" s="91"/>
    </row>
    <row r="842" spans="1:3" ht="13" x14ac:dyDescent="0.15">
      <c r="A842" s="89"/>
      <c r="B842" s="89"/>
      <c r="C842" s="91"/>
    </row>
    <row r="843" spans="1:3" ht="13" x14ac:dyDescent="0.15">
      <c r="A843" s="89"/>
      <c r="B843" s="89"/>
      <c r="C843" s="91"/>
    </row>
    <row r="844" spans="1:3" ht="13" x14ac:dyDescent="0.15">
      <c r="A844" s="89"/>
      <c r="B844" s="89"/>
      <c r="C844" s="91"/>
    </row>
    <row r="845" spans="1:3" ht="13" x14ac:dyDescent="0.15">
      <c r="A845" s="89"/>
      <c r="B845" s="89"/>
      <c r="C845" s="91"/>
    </row>
    <row r="846" spans="1:3" ht="13" x14ac:dyDescent="0.15">
      <c r="A846" s="89"/>
      <c r="B846" s="89"/>
      <c r="C846" s="91"/>
    </row>
    <row r="847" spans="1:3" ht="13" x14ac:dyDescent="0.15">
      <c r="A847" s="89"/>
      <c r="B847" s="89"/>
      <c r="C847" s="91"/>
    </row>
    <row r="848" spans="1:3" ht="13" x14ac:dyDescent="0.15">
      <c r="A848" s="89"/>
      <c r="B848" s="89"/>
      <c r="C848" s="91"/>
    </row>
    <row r="849" spans="1:3" ht="13" x14ac:dyDescent="0.15">
      <c r="A849" s="89"/>
      <c r="B849" s="89"/>
      <c r="C849" s="91"/>
    </row>
    <row r="850" spans="1:3" ht="13" x14ac:dyDescent="0.15">
      <c r="A850" s="89"/>
      <c r="B850" s="89"/>
      <c r="C850" s="91"/>
    </row>
    <row r="851" spans="1:3" ht="13" x14ac:dyDescent="0.15">
      <c r="A851" s="89"/>
      <c r="B851" s="89"/>
      <c r="C851" s="91"/>
    </row>
    <row r="852" spans="1:3" ht="13" x14ac:dyDescent="0.15">
      <c r="A852" s="89"/>
      <c r="B852" s="89"/>
      <c r="C852" s="91"/>
    </row>
    <row r="853" spans="1:3" ht="13" x14ac:dyDescent="0.15">
      <c r="A853" s="89"/>
      <c r="B853" s="89"/>
      <c r="C853" s="91"/>
    </row>
    <row r="854" spans="1:3" ht="13" x14ac:dyDescent="0.15">
      <c r="A854" s="89"/>
      <c r="B854" s="89"/>
      <c r="C854" s="91"/>
    </row>
    <row r="855" spans="1:3" ht="13" x14ac:dyDescent="0.15">
      <c r="A855" s="89"/>
      <c r="B855" s="89"/>
      <c r="C855" s="91"/>
    </row>
    <row r="856" spans="1:3" ht="13" x14ac:dyDescent="0.15">
      <c r="A856" s="89"/>
      <c r="B856" s="89"/>
      <c r="C856" s="91"/>
    </row>
    <row r="857" spans="1:3" ht="13" x14ac:dyDescent="0.15">
      <c r="A857" s="89"/>
      <c r="B857" s="89"/>
      <c r="C857" s="91"/>
    </row>
    <row r="858" spans="1:3" ht="13" x14ac:dyDescent="0.15">
      <c r="A858" s="89"/>
      <c r="B858" s="89"/>
      <c r="C858" s="91"/>
    </row>
    <row r="859" spans="1:3" ht="13" x14ac:dyDescent="0.15">
      <c r="A859" s="89"/>
      <c r="B859" s="89"/>
      <c r="C859" s="91"/>
    </row>
    <row r="860" spans="1:3" ht="13" x14ac:dyDescent="0.15">
      <c r="A860" s="89"/>
      <c r="B860" s="89"/>
      <c r="C860" s="91"/>
    </row>
    <row r="861" spans="1:3" ht="13" x14ac:dyDescent="0.15">
      <c r="A861" s="89"/>
      <c r="B861" s="89"/>
      <c r="C861" s="91"/>
    </row>
    <row r="862" spans="1:3" ht="13" x14ac:dyDescent="0.15">
      <c r="A862" s="89"/>
      <c r="B862" s="89"/>
      <c r="C862" s="91"/>
    </row>
    <row r="863" spans="1:3" ht="13" x14ac:dyDescent="0.15">
      <c r="A863" s="89"/>
      <c r="B863" s="89"/>
      <c r="C863" s="91"/>
    </row>
    <row r="864" spans="1:3" ht="13" x14ac:dyDescent="0.15">
      <c r="A864" s="89"/>
      <c r="B864" s="89"/>
      <c r="C864" s="91"/>
    </row>
    <row r="865" spans="1:3" ht="13" x14ac:dyDescent="0.15">
      <c r="A865" s="89"/>
      <c r="B865" s="89"/>
      <c r="C865" s="91"/>
    </row>
    <row r="866" spans="1:3" ht="13" x14ac:dyDescent="0.15">
      <c r="A866" s="89"/>
      <c r="B866" s="89"/>
      <c r="C866" s="91"/>
    </row>
    <row r="867" spans="1:3" ht="13" x14ac:dyDescent="0.15">
      <c r="A867" s="89"/>
      <c r="B867" s="89"/>
      <c r="C867" s="91"/>
    </row>
    <row r="868" spans="1:3" ht="13" x14ac:dyDescent="0.15">
      <c r="A868" s="89"/>
      <c r="B868" s="89"/>
      <c r="C868" s="91"/>
    </row>
    <row r="869" spans="1:3" ht="13" x14ac:dyDescent="0.15">
      <c r="A869" s="89"/>
      <c r="B869" s="89"/>
      <c r="C869" s="91"/>
    </row>
    <row r="870" spans="1:3" ht="13" x14ac:dyDescent="0.15">
      <c r="A870" s="89"/>
      <c r="B870" s="89"/>
      <c r="C870" s="91"/>
    </row>
    <row r="871" spans="1:3" ht="13" x14ac:dyDescent="0.15">
      <c r="A871" s="89"/>
      <c r="B871" s="89"/>
      <c r="C871" s="91"/>
    </row>
    <row r="872" spans="1:3" ht="13" x14ac:dyDescent="0.15">
      <c r="A872" s="89"/>
      <c r="B872" s="89"/>
      <c r="C872" s="91"/>
    </row>
    <row r="873" spans="1:3" ht="13" x14ac:dyDescent="0.15">
      <c r="A873" s="89"/>
      <c r="B873" s="89"/>
      <c r="C873" s="91"/>
    </row>
    <row r="874" spans="1:3" ht="13" x14ac:dyDescent="0.15">
      <c r="A874" s="89"/>
      <c r="B874" s="89"/>
      <c r="C874" s="91"/>
    </row>
    <row r="875" spans="1:3" ht="13" x14ac:dyDescent="0.15">
      <c r="A875" s="89"/>
      <c r="B875" s="89"/>
      <c r="C875" s="91"/>
    </row>
    <row r="876" spans="1:3" ht="13" x14ac:dyDescent="0.15">
      <c r="A876" s="89"/>
      <c r="B876" s="89"/>
      <c r="C876" s="91"/>
    </row>
    <row r="877" spans="1:3" ht="13" x14ac:dyDescent="0.15">
      <c r="A877" s="89"/>
      <c r="B877" s="89"/>
      <c r="C877" s="91"/>
    </row>
    <row r="878" spans="1:3" ht="13" x14ac:dyDescent="0.15">
      <c r="A878" s="89"/>
      <c r="B878" s="89"/>
      <c r="C878" s="91"/>
    </row>
    <row r="879" spans="1:3" ht="13" x14ac:dyDescent="0.15">
      <c r="A879" s="89"/>
      <c r="B879" s="89"/>
      <c r="C879" s="91"/>
    </row>
    <row r="880" spans="1:3" ht="13" x14ac:dyDescent="0.15">
      <c r="A880" s="89"/>
      <c r="B880" s="89"/>
      <c r="C880" s="91"/>
    </row>
    <row r="881" spans="1:3" ht="13" x14ac:dyDescent="0.15">
      <c r="A881" s="89"/>
      <c r="B881" s="89"/>
      <c r="C881" s="91"/>
    </row>
    <row r="882" spans="1:3" ht="13" x14ac:dyDescent="0.15">
      <c r="A882" s="89"/>
      <c r="B882" s="89"/>
      <c r="C882" s="91"/>
    </row>
    <row r="883" spans="1:3" ht="13" x14ac:dyDescent="0.15">
      <c r="A883" s="89"/>
      <c r="B883" s="89"/>
      <c r="C883" s="91"/>
    </row>
    <row r="884" spans="1:3" ht="13" x14ac:dyDescent="0.15">
      <c r="A884" s="89"/>
      <c r="B884" s="89"/>
      <c r="C884" s="91"/>
    </row>
    <row r="885" spans="1:3" ht="13" x14ac:dyDescent="0.15">
      <c r="A885" s="89"/>
      <c r="B885" s="89"/>
      <c r="C885" s="91"/>
    </row>
    <row r="886" spans="1:3" ht="13" x14ac:dyDescent="0.15">
      <c r="A886" s="89"/>
      <c r="B886" s="89"/>
      <c r="C886" s="91"/>
    </row>
    <row r="887" spans="1:3" ht="13" x14ac:dyDescent="0.15">
      <c r="A887" s="89"/>
      <c r="B887" s="89"/>
      <c r="C887" s="91"/>
    </row>
    <row r="888" spans="1:3" ht="13" x14ac:dyDescent="0.15">
      <c r="A888" s="89"/>
      <c r="B888" s="89"/>
      <c r="C888" s="91"/>
    </row>
    <row r="889" spans="1:3" ht="13" x14ac:dyDescent="0.15">
      <c r="A889" s="89"/>
      <c r="B889" s="89"/>
      <c r="C889" s="91"/>
    </row>
    <row r="890" spans="1:3" ht="13" x14ac:dyDescent="0.15">
      <c r="A890" s="89"/>
      <c r="B890" s="89"/>
      <c r="C890" s="91"/>
    </row>
    <row r="891" spans="1:3" ht="13" x14ac:dyDescent="0.15">
      <c r="A891" s="89"/>
      <c r="B891" s="89"/>
      <c r="C891" s="91"/>
    </row>
    <row r="892" spans="1:3" ht="13" x14ac:dyDescent="0.15">
      <c r="A892" s="89"/>
      <c r="B892" s="89"/>
      <c r="C892" s="91"/>
    </row>
    <row r="893" spans="1:3" ht="13" x14ac:dyDescent="0.15">
      <c r="A893" s="89"/>
      <c r="B893" s="89"/>
      <c r="C893" s="91"/>
    </row>
    <row r="894" spans="1:3" ht="13" x14ac:dyDescent="0.15">
      <c r="A894" s="89"/>
      <c r="B894" s="89"/>
      <c r="C894" s="91"/>
    </row>
    <row r="895" spans="1:3" ht="13" x14ac:dyDescent="0.15">
      <c r="A895" s="89"/>
      <c r="B895" s="89"/>
      <c r="C895" s="91"/>
    </row>
    <row r="896" spans="1:3" ht="13" x14ac:dyDescent="0.15">
      <c r="A896" s="89"/>
      <c r="B896" s="89"/>
      <c r="C896" s="91"/>
    </row>
    <row r="897" spans="1:3" ht="13" x14ac:dyDescent="0.15">
      <c r="A897" s="89"/>
      <c r="B897" s="89"/>
      <c r="C897" s="91"/>
    </row>
    <row r="898" spans="1:3" ht="13" x14ac:dyDescent="0.15">
      <c r="A898" s="89"/>
      <c r="B898" s="89"/>
      <c r="C898" s="91"/>
    </row>
    <row r="899" spans="1:3" ht="13" x14ac:dyDescent="0.15">
      <c r="A899" s="89"/>
      <c r="B899" s="89"/>
      <c r="C899" s="91"/>
    </row>
    <row r="900" spans="1:3" ht="13" x14ac:dyDescent="0.15">
      <c r="A900" s="89"/>
      <c r="B900" s="89"/>
      <c r="C900" s="91"/>
    </row>
    <row r="901" spans="1:3" ht="13" x14ac:dyDescent="0.15">
      <c r="A901" s="89"/>
      <c r="B901" s="89"/>
      <c r="C901" s="91"/>
    </row>
    <row r="902" spans="1:3" ht="13" x14ac:dyDescent="0.15">
      <c r="A902" s="89"/>
      <c r="B902" s="89"/>
      <c r="C902" s="91"/>
    </row>
    <row r="903" spans="1:3" ht="13" x14ac:dyDescent="0.15">
      <c r="A903" s="89"/>
      <c r="B903" s="89"/>
      <c r="C903" s="91"/>
    </row>
    <row r="904" spans="1:3" ht="13" x14ac:dyDescent="0.15">
      <c r="A904" s="89"/>
      <c r="B904" s="89"/>
      <c r="C904" s="91"/>
    </row>
    <row r="905" spans="1:3" ht="13" x14ac:dyDescent="0.15">
      <c r="A905" s="89"/>
      <c r="B905" s="89"/>
      <c r="C905" s="91"/>
    </row>
    <row r="906" spans="1:3" ht="13" x14ac:dyDescent="0.15">
      <c r="A906" s="89"/>
      <c r="B906" s="89"/>
      <c r="C906" s="91"/>
    </row>
    <row r="907" spans="1:3" ht="13" x14ac:dyDescent="0.15">
      <c r="A907" s="89"/>
      <c r="B907" s="89"/>
      <c r="C907" s="91"/>
    </row>
    <row r="908" spans="1:3" ht="13" x14ac:dyDescent="0.15">
      <c r="A908" s="89"/>
      <c r="B908" s="89"/>
      <c r="C908" s="91"/>
    </row>
    <row r="909" spans="1:3" ht="13" x14ac:dyDescent="0.15">
      <c r="A909" s="89"/>
      <c r="B909" s="89"/>
      <c r="C909" s="91"/>
    </row>
    <row r="910" spans="1:3" ht="13" x14ac:dyDescent="0.15">
      <c r="A910" s="89"/>
      <c r="B910" s="89"/>
      <c r="C910" s="91"/>
    </row>
    <row r="911" spans="1:3" ht="13" x14ac:dyDescent="0.15">
      <c r="A911" s="89"/>
      <c r="B911" s="89"/>
      <c r="C911" s="91"/>
    </row>
    <row r="912" spans="1:3" ht="13" x14ac:dyDescent="0.15">
      <c r="A912" s="89"/>
      <c r="B912" s="89"/>
      <c r="C912" s="91"/>
    </row>
    <row r="913" spans="1:3" ht="13" x14ac:dyDescent="0.15">
      <c r="A913" s="89"/>
      <c r="B913" s="89"/>
      <c r="C913" s="91"/>
    </row>
    <row r="914" spans="1:3" ht="13" x14ac:dyDescent="0.15">
      <c r="A914" s="89"/>
      <c r="B914" s="89"/>
      <c r="C914" s="91"/>
    </row>
    <row r="915" spans="1:3" ht="13" x14ac:dyDescent="0.15">
      <c r="A915" s="89"/>
      <c r="B915" s="89"/>
      <c r="C915" s="91"/>
    </row>
    <row r="916" spans="1:3" ht="13" x14ac:dyDescent="0.15">
      <c r="A916" s="89"/>
      <c r="B916" s="89"/>
      <c r="C916" s="91"/>
    </row>
    <row r="917" spans="1:3" ht="13" x14ac:dyDescent="0.15">
      <c r="A917" s="89"/>
      <c r="B917" s="89"/>
      <c r="C917" s="91"/>
    </row>
    <row r="918" spans="1:3" ht="13" x14ac:dyDescent="0.15">
      <c r="A918" s="89"/>
      <c r="B918" s="89"/>
      <c r="C918" s="91"/>
    </row>
    <row r="919" spans="1:3" ht="13" x14ac:dyDescent="0.15">
      <c r="A919" s="89"/>
      <c r="B919" s="89"/>
      <c r="C919" s="91"/>
    </row>
    <row r="920" spans="1:3" ht="13" x14ac:dyDescent="0.15">
      <c r="A920" s="89"/>
      <c r="B920" s="89"/>
      <c r="C920" s="91"/>
    </row>
    <row r="921" spans="1:3" ht="13" x14ac:dyDescent="0.15">
      <c r="A921" s="89"/>
      <c r="B921" s="89"/>
      <c r="C921" s="91"/>
    </row>
    <row r="922" spans="1:3" ht="13" x14ac:dyDescent="0.15">
      <c r="A922" s="89"/>
      <c r="B922" s="89"/>
      <c r="C922" s="91"/>
    </row>
    <row r="923" spans="1:3" ht="13" x14ac:dyDescent="0.15">
      <c r="A923" s="89"/>
      <c r="B923" s="89"/>
      <c r="C923" s="91"/>
    </row>
    <row r="924" spans="1:3" ht="13" x14ac:dyDescent="0.15">
      <c r="A924" s="89"/>
      <c r="B924" s="89"/>
      <c r="C924" s="91"/>
    </row>
    <row r="925" spans="1:3" ht="13" x14ac:dyDescent="0.15">
      <c r="A925" s="89"/>
      <c r="B925" s="89"/>
      <c r="C925" s="91"/>
    </row>
    <row r="926" spans="1:3" ht="13" x14ac:dyDescent="0.15">
      <c r="A926" s="89"/>
      <c r="B926" s="89"/>
      <c r="C926" s="91"/>
    </row>
    <row r="927" spans="1:3" ht="13" x14ac:dyDescent="0.15">
      <c r="A927" s="89"/>
      <c r="B927" s="89"/>
      <c r="C927" s="91"/>
    </row>
    <row r="928" spans="1:3" ht="13" x14ac:dyDescent="0.15">
      <c r="A928" s="89"/>
      <c r="B928" s="89"/>
      <c r="C928" s="91"/>
    </row>
    <row r="929" spans="1:3" ht="13" x14ac:dyDescent="0.15">
      <c r="A929" s="89"/>
      <c r="B929" s="89"/>
      <c r="C929" s="91"/>
    </row>
    <row r="930" spans="1:3" ht="13" x14ac:dyDescent="0.15">
      <c r="A930" s="89"/>
      <c r="B930" s="89"/>
      <c r="C930" s="91"/>
    </row>
    <row r="931" spans="1:3" ht="13" x14ac:dyDescent="0.15">
      <c r="A931" s="89"/>
      <c r="B931" s="89"/>
      <c r="C931" s="91"/>
    </row>
    <row r="932" spans="1:3" ht="13" x14ac:dyDescent="0.15">
      <c r="A932" s="89"/>
      <c r="B932" s="89"/>
      <c r="C932" s="91"/>
    </row>
    <row r="933" spans="1:3" ht="13" x14ac:dyDescent="0.15">
      <c r="A933" s="89"/>
      <c r="B933" s="89"/>
      <c r="C933" s="91"/>
    </row>
    <row r="934" spans="1:3" ht="13" x14ac:dyDescent="0.15">
      <c r="A934" s="89"/>
      <c r="B934" s="89"/>
      <c r="C934" s="91"/>
    </row>
    <row r="935" spans="1:3" ht="13" x14ac:dyDescent="0.15">
      <c r="A935" s="89"/>
      <c r="B935" s="89"/>
      <c r="C935" s="91"/>
    </row>
    <row r="936" spans="1:3" ht="13" x14ac:dyDescent="0.15">
      <c r="A936" s="89"/>
      <c r="B936" s="89"/>
      <c r="C936" s="91"/>
    </row>
    <row r="937" spans="1:3" ht="13" x14ac:dyDescent="0.15">
      <c r="A937" s="89"/>
      <c r="B937" s="89"/>
      <c r="C937" s="91"/>
    </row>
    <row r="938" spans="1:3" ht="13" x14ac:dyDescent="0.15">
      <c r="A938" s="89"/>
      <c r="B938" s="89"/>
      <c r="C938" s="91"/>
    </row>
    <row r="939" spans="1:3" ht="13" x14ac:dyDescent="0.15">
      <c r="A939" s="89"/>
      <c r="B939" s="89"/>
      <c r="C939" s="91"/>
    </row>
    <row r="940" spans="1:3" ht="13" x14ac:dyDescent="0.15">
      <c r="A940" s="89"/>
      <c r="B940" s="89"/>
      <c r="C940" s="91"/>
    </row>
    <row r="941" spans="1:3" ht="13" x14ac:dyDescent="0.15">
      <c r="A941" s="89"/>
      <c r="B941" s="89"/>
      <c r="C941" s="91"/>
    </row>
    <row r="942" spans="1:3" ht="13" x14ac:dyDescent="0.15">
      <c r="A942" s="89"/>
      <c r="B942" s="89"/>
      <c r="C942" s="91"/>
    </row>
    <row r="943" spans="1:3" ht="13" x14ac:dyDescent="0.15">
      <c r="A943" s="89"/>
      <c r="B943" s="89"/>
      <c r="C943" s="91"/>
    </row>
    <row r="944" spans="1:3" ht="13" x14ac:dyDescent="0.15">
      <c r="A944" s="89"/>
      <c r="B944" s="89"/>
      <c r="C944" s="91"/>
    </row>
    <row r="945" spans="1:3" ht="13" x14ac:dyDescent="0.15">
      <c r="A945" s="89"/>
      <c r="B945" s="89"/>
      <c r="C945" s="91"/>
    </row>
    <row r="946" spans="1:3" ht="13" x14ac:dyDescent="0.15">
      <c r="A946" s="89"/>
      <c r="B946" s="89"/>
      <c r="C946" s="91"/>
    </row>
    <row r="947" spans="1:3" ht="13" x14ac:dyDescent="0.15">
      <c r="A947" s="89"/>
      <c r="B947" s="89"/>
      <c r="C947" s="91"/>
    </row>
    <row r="948" spans="1:3" ht="13" x14ac:dyDescent="0.15">
      <c r="A948" s="89"/>
      <c r="B948" s="89"/>
      <c r="C948" s="91"/>
    </row>
    <row r="949" spans="1:3" ht="13" x14ac:dyDescent="0.15">
      <c r="A949" s="89"/>
      <c r="B949" s="89"/>
      <c r="C949" s="91"/>
    </row>
    <row r="950" spans="1:3" ht="13" x14ac:dyDescent="0.15">
      <c r="A950" s="89"/>
      <c r="B950" s="89"/>
      <c r="C950" s="91"/>
    </row>
    <row r="951" spans="1:3" ht="13" x14ac:dyDescent="0.15">
      <c r="A951" s="89"/>
      <c r="B951" s="89"/>
      <c r="C951" s="91"/>
    </row>
    <row r="952" spans="1:3" ht="13" x14ac:dyDescent="0.15">
      <c r="A952" s="89"/>
      <c r="B952" s="89"/>
      <c r="C952" s="91"/>
    </row>
    <row r="953" spans="1:3" ht="13" x14ac:dyDescent="0.15">
      <c r="A953" s="89"/>
      <c r="B953" s="89"/>
      <c r="C953" s="91"/>
    </row>
    <row r="954" spans="1:3" ht="13" x14ac:dyDescent="0.15">
      <c r="A954" s="89"/>
      <c r="B954" s="89"/>
      <c r="C954" s="91"/>
    </row>
    <row r="955" spans="1:3" ht="13" x14ac:dyDescent="0.15">
      <c r="A955" s="89"/>
      <c r="B955" s="89"/>
      <c r="C955" s="91"/>
    </row>
    <row r="956" spans="1:3" ht="13" x14ac:dyDescent="0.15">
      <c r="A956" s="89"/>
      <c r="B956" s="89"/>
      <c r="C956" s="91"/>
    </row>
    <row r="957" spans="1:3" ht="13" x14ac:dyDescent="0.15">
      <c r="A957" s="89"/>
      <c r="B957" s="89"/>
      <c r="C957" s="91"/>
    </row>
    <row r="958" spans="1:3" ht="13" x14ac:dyDescent="0.15">
      <c r="A958" s="89"/>
      <c r="B958" s="89"/>
      <c r="C958" s="91"/>
    </row>
    <row r="959" spans="1:3" ht="13" x14ac:dyDescent="0.15">
      <c r="A959" s="89"/>
      <c r="B959" s="89"/>
      <c r="C959" s="91"/>
    </row>
    <row r="960" spans="1:3" ht="13" x14ac:dyDescent="0.15">
      <c r="A960" s="89"/>
      <c r="B960" s="89"/>
      <c r="C960" s="91"/>
    </row>
    <row r="961" spans="1:3" ht="13" x14ac:dyDescent="0.15">
      <c r="A961" s="89"/>
      <c r="B961" s="89"/>
      <c r="C961" s="91"/>
    </row>
    <row r="962" spans="1:3" ht="13" x14ac:dyDescent="0.15">
      <c r="A962" s="89"/>
      <c r="B962" s="89"/>
      <c r="C962" s="91"/>
    </row>
    <row r="963" spans="1:3" ht="13" x14ac:dyDescent="0.15">
      <c r="A963" s="89"/>
      <c r="B963" s="89"/>
      <c r="C963" s="91"/>
    </row>
    <row r="964" spans="1:3" ht="13" x14ac:dyDescent="0.15">
      <c r="A964" s="89"/>
      <c r="B964" s="89"/>
      <c r="C964" s="91"/>
    </row>
    <row r="965" spans="1:3" ht="13" x14ac:dyDescent="0.15">
      <c r="A965" s="89"/>
      <c r="B965" s="89"/>
      <c r="C965" s="91"/>
    </row>
    <row r="966" spans="1:3" ht="13" x14ac:dyDescent="0.15">
      <c r="A966" s="89"/>
      <c r="B966" s="89"/>
      <c r="C966" s="91"/>
    </row>
    <row r="967" spans="1:3" ht="13" x14ac:dyDescent="0.15">
      <c r="A967" s="89"/>
      <c r="B967" s="89"/>
      <c r="C967" s="91"/>
    </row>
    <row r="968" spans="1:3" ht="13" x14ac:dyDescent="0.15">
      <c r="A968" s="89"/>
      <c r="B968" s="89"/>
      <c r="C968" s="91"/>
    </row>
    <row r="969" spans="1:3" ht="13" x14ac:dyDescent="0.15">
      <c r="A969" s="89"/>
      <c r="B969" s="89"/>
      <c r="C969" s="91"/>
    </row>
    <row r="970" spans="1:3" ht="13" x14ac:dyDescent="0.15">
      <c r="A970" s="89"/>
      <c r="B970" s="89"/>
      <c r="C970" s="91"/>
    </row>
    <row r="971" spans="1:3" ht="13" x14ac:dyDescent="0.15">
      <c r="A971" s="89"/>
      <c r="B971" s="89"/>
      <c r="C971" s="91"/>
    </row>
    <row r="972" spans="1:3" ht="13" x14ac:dyDescent="0.15">
      <c r="A972" s="89"/>
      <c r="B972" s="89"/>
      <c r="C972" s="91"/>
    </row>
    <row r="973" spans="1:3" ht="13" x14ac:dyDescent="0.15">
      <c r="A973" s="89"/>
      <c r="B973" s="89"/>
      <c r="C973" s="91"/>
    </row>
    <row r="974" spans="1:3" ht="13" x14ac:dyDescent="0.15">
      <c r="A974" s="89"/>
      <c r="B974" s="89"/>
      <c r="C974" s="91"/>
    </row>
    <row r="975" spans="1:3" ht="13" x14ac:dyDescent="0.15">
      <c r="A975" s="89"/>
      <c r="B975" s="89"/>
      <c r="C975" s="91"/>
    </row>
    <row r="976" spans="1:3" ht="13" x14ac:dyDescent="0.15">
      <c r="A976" s="89"/>
      <c r="B976" s="89"/>
      <c r="C976" s="91"/>
    </row>
    <row r="977" spans="1:3" ht="13" x14ac:dyDescent="0.15">
      <c r="A977" s="89"/>
      <c r="B977" s="89"/>
      <c r="C977" s="91"/>
    </row>
    <row r="978" spans="1:3" ht="13" x14ac:dyDescent="0.15">
      <c r="A978" s="89"/>
      <c r="B978" s="89"/>
      <c r="C978" s="91"/>
    </row>
    <row r="979" spans="1:3" ht="13" x14ac:dyDescent="0.15">
      <c r="A979" s="89"/>
      <c r="B979" s="89"/>
      <c r="C979" s="91"/>
    </row>
    <row r="980" spans="1:3" ht="13" x14ac:dyDescent="0.15">
      <c r="A980" s="89"/>
      <c r="B980" s="89"/>
      <c r="C980" s="91"/>
    </row>
    <row r="981" spans="1:3" ht="13" x14ac:dyDescent="0.15">
      <c r="A981" s="89"/>
      <c r="B981" s="89"/>
      <c r="C981" s="91"/>
    </row>
    <row r="982" spans="1:3" ht="13" x14ac:dyDescent="0.15">
      <c r="A982" s="89"/>
      <c r="B982" s="89"/>
      <c r="C982" s="91"/>
    </row>
    <row r="983" spans="1:3" ht="13" x14ac:dyDescent="0.15">
      <c r="A983" s="89"/>
      <c r="B983" s="89"/>
      <c r="C983" s="91"/>
    </row>
    <row r="984" spans="1:3" ht="13" x14ac:dyDescent="0.15">
      <c r="A984" s="89"/>
      <c r="B984" s="89"/>
      <c r="C984" s="91"/>
    </row>
    <row r="985" spans="1:3" ht="13" x14ac:dyDescent="0.15">
      <c r="A985" s="89"/>
      <c r="B985" s="89"/>
      <c r="C985" s="91"/>
    </row>
    <row r="986" spans="1:3" ht="13" x14ac:dyDescent="0.15">
      <c r="A986" s="89"/>
      <c r="B986" s="89"/>
      <c r="C986" s="91"/>
    </row>
    <row r="987" spans="1:3" ht="13" x14ac:dyDescent="0.15">
      <c r="A987" s="89"/>
      <c r="B987" s="89"/>
      <c r="C987" s="91"/>
    </row>
    <row r="988" spans="1:3" ht="13" x14ac:dyDescent="0.15">
      <c r="A988" s="89"/>
      <c r="B988" s="89"/>
      <c r="C988" s="91"/>
    </row>
    <row r="989" spans="1:3" ht="13" x14ac:dyDescent="0.15">
      <c r="A989" s="89"/>
      <c r="B989" s="89"/>
      <c r="C989" s="91"/>
    </row>
    <row r="990" spans="1:3" ht="13" x14ac:dyDescent="0.15">
      <c r="A990" s="89"/>
      <c r="B990" s="89"/>
      <c r="C990" s="91"/>
    </row>
    <row r="991" spans="1:3" ht="13" x14ac:dyDescent="0.15">
      <c r="A991" s="89"/>
      <c r="B991" s="89"/>
      <c r="C991" s="91"/>
    </row>
    <row r="992" spans="1:3" ht="13" x14ac:dyDescent="0.15">
      <c r="A992" s="89"/>
      <c r="B992" s="89"/>
      <c r="C992" s="91"/>
    </row>
    <row r="993" spans="1:3" ht="13" x14ac:dyDescent="0.15">
      <c r="A993" s="89"/>
      <c r="B993" s="89"/>
      <c r="C993" s="91"/>
    </row>
    <row r="994" spans="1:3" ht="13" x14ac:dyDescent="0.15">
      <c r="A994" s="89"/>
      <c r="B994" s="89"/>
      <c r="C994" s="91"/>
    </row>
    <row r="995" spans="1:3" ht="13" x14ac:dyDescent="0.15">
      <c r="A995" s="89"/>
      <c r="B995" s="89"/>
      <c r="C995" s="91"/>
    </row>
    <row r="996" spans="1:3" ht="13" x14ac:dyDescent="0.15">
      <c r="A996" s="89"/>
      <c r="B996" s="89"/>
      <c r="C996" s="91"/>
    </row>
    <row r="997" spans="1:3" ht="13" x14ac:dyDescent="0.15">
      <c r="A997" s="89"/>
      <c r="B997" s="89"/>
      <c r="C997" s="91"/>
    </row>
    <row r="998" spans="1:3" ht="13" x14ac:dyDescent="0.15">
      <c r="A998" s="89"/>
      <c r="B998" s="89"/>
      <c r="C998" s="91"/>
    </row>
    <row r="999" spans="1:3" ht="13" x14ac:dyDescent="0.15">
      <c r="A999" s="89"/>
      <c r="B999" s="89"/>
      <c r="C999" s="91"/>
    </row>
    <row r="1000" spans="1:3" ht="13" x14ac:dyDescent="0.15">
      <c r="A1000" s="89"/>
      <c r="B1000" s="89"/>
      <c r="C1000" s="91"/>
    </row>
    <row r="1001" spans="1:3" ht="13" x14ac:dyDescent="0.15">
      <c r="A1001" s="89"/>
      <c r="B1001" s="89"/>
      <c r="C1001" s="91"/>
    </row>
    <row r="1002" spans="1:3" ht="13" x14ac:dyDescent="0.15">
      <c r="A1002" s="89"/>
      <c r="B1002" s="89"/>
      <c r="C1002" s="91"/>
    </row>
    <row r="1003" spans="1:3" ht="13" x14ac:dyDescent="0.15">
      <c r="A1003" s="89"/>
      <c r="B1003" s="89"/>
      <c r="C1003" s="91"/>
    </row>
    <row r="1004" spans="1:3" ht="13" x14ac:dyDescent="0.15">
      <c r="A1004" s="89"/>
      <c r="B1004" s="89"/>
      <c r="C1004" s="91"/>
    </row>
    <row r="1005" spans="1:3" ht="13" x14ac:dyDescent="0.15">
      <c r="A1005" s="89"/>
      <c r="B1005" s="89"/>
      <c r="C1005" s="91"/>
    </row>
    <row r="1006" spans="1:3" ht="13" x14ac:dyDescent="0.15">
      <c r="A1006" s="89"/>
      <c r="B1006" s="89"/>
      <c r="C1006" s="91"/>
    </row>
    <row r="1007" spans="1:3" ht="13" x14ac:dyDescent="0.15">
      <c r="A1007" s="89"/>
      <c r="B1007" s="89"/>
      <c r="C1007" s="91"/>
    </row>
    <row r="1008" spans="1:3" ht="13" x14ac:dyDescent="0.15">
      <c r="A1008" s="89"/>
      <c r="B1008" s="89"/>
      <c r="C1008" s="91"/>
    </row>
    <row r="1009" spans="1:3" ht="13" x14ac:dyDescent="0.15">
      <c r="A1009" s="89"/>
      <c r="B1009" s="89"/>
      <c r="C1009" s="91"/>
    </row>
    <row r="1010" spans="1:3" ht="13" x14ac:dyDescent="0.15">
      <c r="A1010" s="89"/>
      <c r="B1010" s="89"/>
      <c r="C1010" s="91"/>
    </row>
    <row r="1011" spans="1:3" ht="13" x14ac:dyDescent="0.15">
      <c r="A1011" s="89"/>
      <c r="B1011" s="89"/>
      <c r="C1011" s="91"/>
    </row>
    <row r="1012" spans="1:3" ht="13" x14ac:dyDescent="0.15">
      <c r="A1012" s="89"/>
      <c r="B1012" s="89"/>
      <c r="C1012" s="91"/>
    </row>
    <row r="1013" spans="1:3" ht="13" x14ac:dyDescent="0.15">
      <c r="A1013" s="89"/>
      <c r="B1013" s="89"/>
      <c r="C1013" s="91"/>
    </row>
    <row r="1014" spans="1:3" ht="13" x14ac:dyDescent="0.15">
      <c r="A1014" s="89"/>
      <c r="B1014" s="89"/>
      <c r="C1014" s="91"/>
    </row>
    <row r="1015" spans="1:3" ht="13" x14ac:dyDescent="0.15">
      <c r="A1015" s="89"/>
      <c r="B1015" s="89"/>
      <c r="C1015" s="91"/>
    </row>
    <row r="1016" spans="1:3" ht="13" x14ac:dyDescent="0.15">
      <c r="A1016" s="89"/>
      <c r="B1016" s="89"/>
      <c r="C1016" s="91"/>
    </row>
    <row r="1017" spans="1:3" ht="13" x14ac:dyDescent="0.15">
      <c r="A1017" s="89"/>
      <c r="B1017" s="89"/>
      <c r="C1017" s="91"/>
    </row>
    <row r="1018" spans="1:3" ht="13" x14ac:dyDescent="0.15">
      <c r="A1018" s="89"/>
      <c r="B1018" s="89"/>
      <c r="C1018" s="91"/>
    </row>
    <row r="1019" spans="1:3" ht="13" x14ac:dyDescent="0.15">
      <c r="A1019" s="89"/>
      <c r="B1019" s="89"/>
      <c r="C1019" s="91"/>
    </row>
    <row r="1020" spans="1:3" ht="13" x14ac:dyDescent="0.15">
      <c r="A1020" s="89"/>
      <c r="B1020" s="89"/>
      <c r="C1020" s="91"/>
    </row>
    <row r="1021" spans="1:3" ht="13" x14ac:dyDescent="0.15">
      <c r="A1021" s="89"/>
      <c r="B1021" s="89"/>
      <c r="C1021" s="91"/>
    </row>
    <row r="1022" spans="1:3" ht="13" x14ac:dyDescent="0.15">
      <c r="A1022" s="89"/>
      <c r="B1022" s="89"/>
      <c r="C1022" s="91"/>
    </row>
    <row r="1023" spans="1:3" ht="13" x14ac:dyDescent="0.15">
      <c r="A1023" s="89"/>
      <c r="B1023" s="89"/>
      <c r="C1023" s="91"/>
    </row>
    <row r="1024" spans="1:3" ht="13" x14ac:dyDescent="0.15">
      <c r="A1024" s="89"/>
      <c r="B1024" s="89"/>
      <c r="C1024" s="91"/>
    </row>
    <row r="1025" spans="1:3" ht="13" x14ac:dyDescent="0.15">
      <c r="A1025" s="89"/>
      <c r="B1025" s="89"/>
      <c r="C1025" s="91"/>
    </row>
    <row r="1026" spans="1:3" ht="13" x14ac:dyDescent="0.15">
      <c r="A1026" s="89"/>
      <c r="B1026" s="89"/>
      <c r="C1026" s="91"/>
    </row>
    <row r="1027" spans="1:3" ht="13" x14ac:dyDescent="0.15">
      <c r="A1027" s="89"/>
      <c r="B1027" s="89"/>
      <c r="C1027" s="91"/>
    </row>
    <row r="1028" spans="1:3" ht="13" x14ac:dyDescent="0.15">
      <c r="A1028" s="89"/>
      <c r="B1028" s="89"/>
      <c r="C1028" s="91"/>
    </row>
    <row r="1029" spans="1:3" ht="13" x14ac:dyDescent="0.15">
      <c r="A1029" s="89"/>
      <c r="B1029" s="89"/>
      <c r="C1029" s="91"/>
    </row>
    <row r="1030" spans="1:3" ht="13" x14ac:dyDescent="0.15">
      <c r="A1030" s="89"/>
      <c r="B1030" s="89"/>
      <c r="C1030" s="91"/>
    </row>
    <row r="1031" spans="1:3" ht="13" x14ac:dyDescent="0.15">
      <c r="A1031" s="89"/>
      <c r="B1031" s="89"/>
      <c r="C1031" s="91"/>
    </row>
    <row r="1032" spans="1:3" ht="13" x14ac:dyDescent="0.15">
      <c r="A1032" s="89"/>
      <c r="B1032" s="89"/>
      <c r="C1032" s="91"/>
    </row>
    <row r="1033" spans="1:3" ht="13" x14ac:dyDescent="0.15">
      <c r="A1033" s="89"/>
      <c r="B1033" s="89"/>
      <c r="C1033" s="91"/>
    </row>
    <row r="1034" spans="1:3" ht="13" x14ac:dyDescent="0.15">
      <c r="A1034" s="89"/>
      <c r="B1034" s="89"/>
      <c r="C1034" s="91"/>
    </row>
    <row r="1035" spans="1:3" ht="13" x14ac:dyDescent="0.15">
      <c r="A1035" s="89"/>
      <c r="B1035" s="89"/>
      <c r="C1035" s="91"/>
    </row>
    <row r="1036" spans="1:3" ht="13" x14ac:dyDescent="0.15">
      <c r="A1036" s="89"/>
      <c r="B1036" s="89"/>
      <c r="C1036" s="91"/>
    </row>
    <row r="1037" spans="1:3" ht="13" x14ac:dyDescent="0.15">
      <c r="A1037" s="89"/>
      <c r="B1037" s="89"/>
      <c r="C1037" s="91"/>
    </row>
    <row r="1038" spans="1:3" ht="13" x14ac:dyDescent="0.15">
      <c r="A1038" s="89"/>
      <c r="B1038" s="89"/>
      <c r="C1038" s="91"/>
    </row>
    <row r="1039" spans="1:3" ht="13" x14ac:dyDescent="0.15">
      <c r="A1039" s="89"/>
      <c r="B1039" s="89"/>
      <c r="C1039" s="91"/>
    </row>
    <row r="1040" spans="1:3" ht="13" x14ac:dyDescent="0.15">
      <c r="A1040" s="89"/>
      <c r="B1040" s="89"/>
      <c r="C1040" s="91"/>
    </row>
    <row r="1041" spans="1:3" ht="13" x14ac:dyDescent="0.15">
      <c r="A1041" s="89"/>
      <c r="B1041" s="89"/>
      <c r="C1041" s="91"/>
    </row>
    <row r="1042" spans="1:3" ht="13" x14ac:dyDescent="0.15">
      <c r="A1042" s="89"/>
      <c r="B1042" s="89"/>
      <c r="C1042" s="91"/>
    </row>
    <row r="1043" spans="1:3" ht="13" x14ac:dyDescent="0.15">
      <c r="A1043" s="89"/>
      <c r="B1043" s="89"/>
      <c r="C1043" s="91"/>
    </row>
    <row r="1044" spans="1:3" ht="13" x14ac:dyDescent="0.15">
      <c r="A1044" s="89"/>
      <c r="B1044" s="89"/>
      <c r="C1044" s="91"/>
    </row>
    <row r="1045" spans="1:3" ht="13" x14ac:dyDescent="0.15">
      <c r="A1045" s="89"/>
      <c r="B1045" s="89"/>
      <c r="C1045" s="91"/>
    </row>
    <row r="1046" spans="1:3" ht="13" x14ac:dyDescent="0.15">
      <c r="A1046" s="89"/>
      <c r="B1046" s="89"/>
      <c r="C1046" s="91"/>
    </row>
    <row r="1047" spans="1:3" ht="13" x14ac:dyDescent="0.15">
      <c r="A1047" s="89"/>
      <c r="B1047" s="89"/>
      <c r="C1047" s="91"/>
    </row>
    <row r="1048" spans="1:3" ht="13" x14ac:dyDescent="0.15">
      <c r="A1048" s="89"/>
      <c r="B1048" s="89"/>
      <c r="C1048" s="91"/>
    </row>
    <row r="1049" spans="1:3" ht="13" x14ac:dyDescent="0.15">
      <c r="A1049" s="89"/>
      <c r="B1049" s="89"/>
      <c r="C1049" s="91"/>
    </row>
    <row r="1050" spans="1:3" ht="13" x14ac:dyDescent="0.15">
      <c r="A1050" s="89"/>
      <c r="B1050" s="89"/>
      <c r="C1050" s="91"/>
    </row>
    <row r="1051" spans="1:3" ht="13" x14ac:dyDescent="0.15">
      <c r="A1051" s="89"/>
      <c r="B1051" s="89"/>
      <c r="C1051" s="91"/>
    </row>
    <row r="1052" spans="1:3" ht="13" x14ac:dyDescent="0.15">
      <c r="A1052" s="89"/>
      <c r="B1052" s="89"/>
      <c r="C1052" s="91"/>
    </row>
    <row r="1053" spans="1:3" ht="13" x14ac:dyDescent="0.15">
      <c r="A1053" s="89"/>
      <c r="B1053" s="89"/>
      <c r="C1053" s="91"/>
    </row>
    <row r="1054" spans="1:3" ht="13" x14ac:dyDescent="0.15">
      <c r="A1054" s="89"/>
      <c r="B1054" s="89"/>
      <c r="C1054" s="91"/>
    </row>
    <row r="1055" spans="1:3" ht="13" x14ac:dyDescent="0.15">
      <c r="A1055" s="89"/>
      <c r="B1055" s="89"/>
      <c r="C1055" s="91"/>
    </row>
    <row r="1056" spans="1:3" ht="13" x14ac:dyDescent="0.15">
      <c r="A1056" s="89"/>
      <c r="B1056" s="89"/>
      <c r="C1056" s="91"/>
    </row>
    <row r="1057" spans="1:3" ht="13" x14ac:dyDescent="0.15">
      <c r="A1057" s="89"/>
      <c r="B1057" s="89"/>
      <c r="C1057" s="91"/>
    </row>
    <row r="1058" spans="1:3" ht="13" x14ac:dyDescent="0.15">
      <c r="A1058" s="89"/>
      <c r="B1058" s="89"/>
      <c r="C1058" s="91"/>
    </row>
    <row r="1059" spans="1:3" ht="13" x14ac:dyDescent="0.15">
      <c r="A1059" s="89"/>
      <c r="B1059" s="89"/>
      <c r="C1059" s="91"/>
    </row>
    <row r="1060" spans="1:3" ht="13" x14ac:dyDescent="0.15">
      <c r="A1060" s="89"/>
      <c r="B1060" s="89"/>
      <c r="C1060" s="91"/>
    </row>
    <row r="1061" spans="1:3" ht="13" x14ac:dyDescent="0.15">
      <c r="A1061" s="89"/>
      <c r="B1061" s="89"/>
      <c r="C1061" s="91"/>
    </row>
    <row r="1062" spans="1:3" ht="13" x14ac:dyDescent="0.15">
      <c r="A1062" s="89"/>
      <c r="B1062" s="89"/>
      <c r="C1062" s="91"/>
    </row>
    <row r="1063" spans="1:3" ht="13" x14ac:dyDescent="0.15">
      <c r="A1063" s="89"/>
      <c r="B1063" s="89"/>
      <c r="C1063" s="91"/>
    </row>
    <row r="1064" spans="1:3" ht="13" x14ac:dyDescent="0.15">
      <c r="A1064" s="89"/>
      <c r="B1064" s="89"/>
      <c r="C1064" s="91"/>
    </row>
    <row r="1065" spans="1:3" ht="13" x14ac:dyDescent="0.15">
      <c r="A1065" s="89"/>
      <c r="B1065" s="89"/>
      <c r="C1065" s="91"/>
    </row>
    <row r="1066" spans="1:3" ht="13" x14ac:dyDescent="0.15">
      <c r="A1066" s="89"/>
      <c r="B1066" s="89"/>
      <c r="C1066" s="91"/>
    </row>
    <row r="1067" spans="1:3" ht="13" x14ac:dyDescent="0.15">
      <c r="A1067" s="89"/>
      <c r="B1067" s="89"/>
      <c r="C1067" s="91"/>
    </row>
    <row r="1068" spans="1:3" ht="13" x14ac:dyDescent="0.15">
      <c r="A1068" s="89"/>
      <c r="B1068" s="89"/>
      <c r="C1068" s="91"/>
    </row>
    <row r="1069" spans="1:3" ht="13" x14ac:dyDescent="0.15">
      <c r="A1069" s="89"/>
      <c r="B1069" s="89"/>
      <c r="C1069" s="91"/>
    </row>
    <row r="1070" spans="1:3" ht="13" x14ac:dyDescent="0.15">
      <c r="A1070" s="89"/>
      <c r="B1070" s="89"/>
      <c r="C1070" s="91"/>
    </row>
    <row r="1071" spans="1:3" ht="13" x14ac:dyDescent="0.15">
      <c r="A1071" s="89"/>
      <c r="B1071" s="89"/>
      <c r="C1071" s="91"/>
    </row>
  </sheetData>
  <mergeCells count="50">
    <mergeCell ref="A71:A73"/>
    <mergeCell ref="B71:B73"/>
    <mergeCell ref="C71:C73"/>
    <mergeCell ref="B75:B82"/>
    <mergeCell ref="C75:C77"/>
    <mergeCell ref="A95:A99"/>
    <mergeCell ref="A100:A101"/>
    <mergeCell ref="A105:A108"/>
    <mergeCell ref="A75:A82"/>
    <mergeCell ref="A83:A86"/>
    <mergeCell ref="A90:A93"/>
    <mergeCell ref="B90:B93"/>
    <mergeCell ref="B95:B99"/>
    <mergeCell ref="B83:B86"/>
    <mergeCell ref="C83:C84"/>
    <mergeCell ref="A109:A110"/>
    <mergeCell ref="A117:A118"/>
    <mergeCell ref="A123:A124"/>
    <mergeCell ref="B100:B101"/>
    <mergeCell ref="B105:B108"/>
    <mergeCell ref="B109:B110"/>
    <mergeCell ref="B117:B118"/>
    <mergeCell ref="B123:B124"/>
    <mergeCell ref="H1:H2"/>
    <mergeCell ref="I1:I2"/>
    <mergeCell ref="A1:A2"/>
    <mergeCell ref="B1:B2"/>
    <mergeCell ref="C1:C2"/>
    <mergeCell ref="D1:D2"/>
    <mergeCell ref="E1:E2"/>
    <mergeCell ref="F1:F2"/>
    <mergeCell ref="G1:G2"/>
    <mergeCell ref="B15:B22"/>
    <mergeCell ref="C15:C17"/>
    <mergeCell ref="A3:A6"/>
    <mergeCell ref="B3:B6"/>
    <mergeCell ref="A7:A10"/>
    <mergeCell ref="B7:B10"/>
    <mergeCell ref="A12:A14"/>
    <mergeCell ref="B12:B14"/>
    <mergeCell ref="A15:A22"/>
    <mergeCell ref="B54:B69"/>
    <mergeCell ref="C54:C55"/>
    <mergeCell ref="A23:A25"/>
    <mergeCell ref="B23:B25"/>
    <mergeCell ref="A27:A28"/>
    <mergeCell ref="B27:B28"/>
    <mergeCell ref="A29:A53"/>
    <mergeCell ref="B29:B53"/>
    <mergeCell ref="A54:A69"/>
  </mergeCells>
  <phoneticPr fontId="1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H1003"/>
  <sheetViews>
    <sheetView workbookViewId="0">
      <selection activeCell="C37" sqref="C37"/>
    </sheetView>
  </sheetViews>
  <sheetFormatPr baseColWidth="10" defaultColWidth="12.6640625" defaultRowHeight="15.75" customHeight="1" x14ac:dyDescent="0.15"/>
  <sheetData>
    <row r="1" spans="1:8" ht="13" x14ac:dyDescent="0.15">
      <c r="A1" s="6"/>
      <c r="B1" s="92"/>
      <c r="C1" s="6">
        <v>2024</v>
      </c>
      <c r="D1" s="6">
        <v>2025</v>
      </c>
      <c r="H1" s="6" t="s">
        <v>136</v>
      </c>
    </row>
    <row r="2" spans="1:8" ht="13" x14ac:dyDescent="0.15">
      <c r="A2" s="6" t="s">
        <v>51</v>
      </c>
      <c r="B2" s="92"/>
      <c r="C2" s="7">
        <v>10000</v>
      </c>
      <c r="D2" s="3">
        <v>38900</v>
      </c>
      <c r="H2" s="7" t="s">
        <v>137</v>
      </c>
    </row>
    <row r="3" spans="1:8" ht="13" x14ac:dyDescent="0.15">
      <c r="A3" s="6" t="s">
        <v>1</v>
      </c>
      <c r="B3" s="92"/>
      <c r="C3" s="3">
        <v>32300</v>
      </c>
      <c r="D3" s="3">
        <v>38900</v>
      </c>
      <c r="H3" s="5" t="s">
        <v>138</v>
      </c>
    </row>
    <row r="4" spans="1:8" ht="13" x14ac:dyDescent="0.15">
      <c r="A4" s="6" t="s">
        <v>12</v>
      </c>
      <c r="B4" s="92"/>
      <c r="C4" s="7">
        <v>10000</v>
      </c>
      <c r="D4" s="7">
        <v>10000</v>
      </c>
      <c r="H4" s="93" t="s">
        <v>139</v>
      </c>
    </row>
    <row r="5" spans="1:8" ht="13" x14ac:dyDescent="0.15">
      <c r="A5" s="6" t="s">
        <v>9</v>
      </c>
      <c r="B5" s="92"/>
      <c r="C5" s="3">
        <v>32300</v>
      </c>
      <c r="D5" s="6"/>
      <c r="H5" s="3" t="s">
        <v>140</v>
      </c>
    </row>
    <row r="6" spans="1:8" ht="13" x14ac:dyDescent="0.15">
      <c r="A6" s="6" t="s">
        <v>10</v>
      </c>
      <c r="B6" s="92"/>
      <c r="C6" s="3">
        <v>32300</v>
      </c>
      <c r="D6" s="3">
        <v>38900</v>
      </c>
    </row>
    <row r="7" spans="1:8" ht="13" x14ac:dyDescent="0.15">
      <c r="A7" s="6" t="s">
        <v>8</v>
      </c>
      <c r="B7" s="92"/>
      <c r="C7" s="3">
        <v>32300</v>
      </c>
      <c r="D7" s="7">
        <v>10000</v>
      </c>
    </row>
    <row r="8" spans="1:8" ht="13" x14ac:dyDescent="0.15">
      <c r="A8" s="6" t="s">
        <v>21</v>
      </c>
      <c r="B8" s="92"/>
      <c r="C8" s="3">
        <v>32300</v>
      </c>
      <c r="D8" s="3">
        <v>38900</v>
      </c>
    </row>
    <row r="9" spans="1:8" ht="13" x14ac:dyDescent="0.15">
      <c r="A9" s="6" t="s">
        <v>23</v>
      </c>
      <c r="B9" s="94">
        <v>44228</v>
      </c>
      <c r="C9" s="7">
        <v>9450</v>
      </c>
      <c r="D9" s="6"/>
    </row>
    <row r="10" spans="1:8" ht="13" x14ac:dyDescent="0.15">
      <c r="A10" s="6" t="s">
        <v>15</v>
      </c>
      <c r="B10" s="92"/>
      <c r="C10" s="3">
        <v>32300</v>
      </c>
      <c r="D10" s="3">
        <v>38900</v>
      </c>
    </row>
    <row r="11" spans="1:8" ht="13" x14ac:dyDescent="0.15">
      <c r="A11" s="6" t="s">
        <v>24</v>
      </c>
      <c r="B11" s="92"/>
      <c r="C11" s="7">
        <v>3000</v>
      </c>
      <c r="D11" s="6"/>
    </row>
    <row r="12" spans="1:8" ht="13" x14ac:dyDescent="0.15">
      <c r="A12" s="6" t="s">
        <v>28</v>
      </c>
      <c r="B12" s="92"/>
      <c r="C12" s="3">
        <v>32300</v>
      </c>
      <c r="D12" s="3">
        <v>38900</v>
      </c>
    </row>
    <row r="13" spans="1:8" ht="13" x14ac:dyDescent="0.15">
      <c r="A13" s="6" t="s">
        <v>32</v>
      </c>
      <c r="B13" s="92"/>
      <c r="C13" s="7">
        <v>10000</v>
      </c>
      <c r="D13" s="6"/>
    </row>
    <row r="14" spans="1:8" ht="13" x14ac:dyDescent="0.15">
      <c r="A14" s="6" t="s">
        <v>25</v>
      </c>
      <c r="B14" s="92"/>
      <c r="C14" s="3">
        <v>32300</v>
      </c>
      <c r="D14" s="3">
        <v>38900</v>
      </c>
    </row>
    <row r="15" spans="1:8" ht="13" x14ac:dyDescent="0.15">
      <c r="A15" s="6" t="s">
        <v>2</v>
      </c>
      <c r="B15" s="92"/>
      <c r="C15" s="3">
        <v>32300</v>
      </c>
      <c r="D15" s="3">
        <v>38900</v>
      </c>
    </row>
    <row r="16" spans="1:8" ht="13" x14ac:dyDescent="0.15">
      <c r="A16" s="6" t="s">
        <v>13</v>
      </c>
      <c r="B16" s="92"/>
      <c r="C16" s="3">
        <v>32300</v>
      </c>
      <c r="D16" s="3">
        <v>38900</v>
      </c>
    </row>
    <row r="17" spans="1:4" ht="13" x14ac:dyDescent="0.15">
      <c r="A17" s="6" t="s">
        <v>35</v>
      </c>
      <c r="B17" s="92"/>
      <c r="C17" s="6"/>
      <c r="D17" s="6"/>
    </row>
    <row r="18" spans="1:4" ht="13" x14ac:dyDescent="0.15">
      <c r="A18" s="6" t="s">
        <v>38</v>
      </c>
      <c r="B18" s="92"/>
      <c r="C18" s="3">
        <v>32300</v>
      </c>
      <c r="D18" s="3">
        <v>38900</v>
      </c>
    </row>
    <row r="19" spans="1:4" ht="13" x14ac:dyDescent="0.15">
      <c r="A19" s="6" t="s">
        <v>0</v>
      </c>
      <c r="B19" s="92"/>
      <c r="C19" s="3">
        <v>32300</v>
      </c>
      <c r="D19" s="7">
        <v>10000</v>
      </c>
    </row>
    <row r="20" spans="1:4" ht="13" x14ac:dyDescent="0.15">
      <c r="A20" s="6" t="s">
        <v>3</v>
      </c>
      <c r="B20" s="92"/>
      <c r="C20" s="3">
        <v>32300</v>
      </c>
      <c r="D20" s="3">
        <v>38900</v>
      </c>
    </row>
    <row r="21" spans="1:4" ht="13" x14ac:dyDescent="0.15">
      <c r="A21" s="6" t="s">
        <v>16</v>
      </c>
      <c r="B21" s="92"/>
      <c r="C21" s="3">
        <v>32300</v>
      </c>
      <c r="D21" s="7">
        <v>10000</v>
      </c>
    </row>
    <row r="22" spans="1:4" ht="13" x14ac:dyDescent="0.15">
      <c r="A22" s="6" t="s">
        <v>17</v>
      </c>
      <c r="B22" s="92"/>
      <c r="C22" s="3">
        <v>32300</v>
      </c>
      <c r="D22" s="7">
        <v>10000</v>
      </c>
    </row>
    <row r="23" spans="1:4" ht="13" x14ac:dyDescent="0.15">
      <c r="A23" s="6" t="s">
        <v>42</v>
      </c>
      <c r="B23" s="92"/>
      <c r="C23" s="3">
        <v>32300</v>
      </c>
      <c r="D23" s="6"/>
    </row>
    <row r="24" spans="1:4" ht="13" x14ac:dyDescent="0.15">
      <c r="A24" s="6" t="s">
        <v>36</v>
      </c>
      <c r="B24" s="94">
        <v>45103</v>
      </c>
      <c r="C24" s="7">
        <v>10000</v>
      </c>
      <c r="D24" s="6"/>
    </row>
    <row r="25" spans="1:4" ht="13" x14ac:dyDescent="0.15">
      <c r="A25" s="6" t="s">
        <v>6</v>
      </c>
      <c r="B25" s="92"/>
      <c r="C25" s="3">
        <v>32300</v>
      </c>
      <c r="D25" s="3">
        <v>38900</v>
      </c>
    </row>
    <row r="26" spans="1:4" ht="13" x14ac:dyDescent="0.15">
      <c r="A26" s="6" t="s">
        <v>52</v>
      </c>
      <c r="B26" s="92"/>
      <c r="C26" s="6"/>
      <c r="D26" s="6"/>
    </row>
    <row r="27" spans="1:4" ht="13" x14ac:dyDescent="0.15">
      <c r="A27" s="6" t="s">
        <v>4</v>
      </c>
      <c r="B27" s="92"/>
      <c r="C27" s="3">
        <v>32300</v>
      </c>
      <c r="D27" s="3">
        <v>38900</v>
      </c>
    </row>
    <row r="28" spans="1:4" ht="13" x14ac:dyDescent="0.15">
      <c r="A28" s="6" t="s">
        <v>33</v>
      </c>
      <c r="B28" s="92"/>
      <c r="C28" s="3">
        <v>32300</v>
      </c>
      <c r="D28" s="3">
        <v>38900</v>
      </c>
    </row>
    <row r="29" spans="1:4" ht="13" x14ac:dyDescent="0.15">
      <c r="A29" s="6" t="s">
        <v>22</v>
      </c>
      <c r="B29" s="92"/>
      <c r="C29" s="3">
        <v>32300</v>
      </c>
      <c r="D29" s="6"/>
    </row>
    <row r="30" spans="1:4" ht="13" x14ac:dyDescent="0.15">
      <c r="A30" s="6" t="s">
        <v>29</v>
      </c>
      <c r="B30" s="92"/>
      <c r="C30" s="3">
        <v>32300</v>
      </c>
      <c r="D30" s="3">
        <v>38900</v>
      </c>
    </row>
    <row r="31" spans="1:4" ht="13" x14ac:dyDescent="0.15">
      <c r="A31" s="6" t="s">
        <v>11</v>
      </c>
      <c r="B31" s="92"/>
      <c r="C31" s="6"/>
      <c r="D31" s="7">
        <v>6819</v>
      </c>
    </row>
    <row r="32" spans="1:4" ht="13" x14ac:dyDescent="0.15">
      <c r="A32" s="6" t="s">
        <v>14</v>
      </c>
      <c r="B32" s="92"/>
      <c r="C32" s="3">
        <v>32300</v>
      </c>
      <c r="D32" s="7">
        <v>10000</v>
      </c>
    </row>
    <row r="33" spans="1:4" ht="13" x14ac:dyDescent="0.15">
      <c r="A33" s="6" t="s">
        <v>43</v>
      </c>
      <c r="B33" s="92"/>
      <c r="C33" s="3">
        <v>32300</v>
      </c>
      <c r="D33" s="7">
        <v>10000</v>
      </c>
    </row>
    <row r="34" spans="1:4" ht="13" x14ac:dyDescent="0.15">
      <c r="A34" s="37" t="s">
        <v>18</v>
      </c>
      <c r="B34" s="92"/>
      <c r="C34" s="6"/>
      <c r="D34" s="3">
        <v>38900</v>
      </c>
    </row>
    <row r="35" spans="1:4" ht="13" x14ac:dyDescent="0.15">
      <c r="A35" s="87" t="s">
        <v>5</v>
      </c>
      <c r="B35" s="92"/>
      <c r="C35" s="6"/>
      <c r="D35" s="6"/>
    </row>
    <row r="36" spans="1:4" ht="13" x14ac:dyDescent="0.15">
      <c r="A36" s="37" t="s">
        <v>26</v>
      </c>
      <c r="B36" s="92"/>
      <c r="C36" s="6"/>
      <c r="D36" s="3">
        <v>33916</v>
      </c>
    </row>
    <row r="37" spans="1:4" ht="13" x14ac:dyDescent="0.15">
      <c r="A37" s="37" t="s">
        <v>40</v>
      </c>
      <c r="B37" s="92"/>
      <c r="C37" s="6"/>
      <c r="D37" s="6"/>
    </row>
    <row r="38" spans="1:4" ht="13" x14ac:dyDescent="0.15">
      <c r="A38" s="37" t="s">
        <v>30</v>
      </c>
      <c r="B38" s="92"/>
      <c r="C38" s="6"/>
      <c r="D38" s="6"/>
    </row>
    <row r="39" spans="1:4" ht="13" x14ac:dyDescent="0.15">
      <c r="A39" s="42" t="s">
        <v>37</v>
      </c>
      <c r="B39" s="92"/>
      <c r="C39" s="6"/>
      <c r="D39" s="3">
        <v>24191</v>
      </c>
    </row>
    <row r="40" spans="1:4" ht="13" x14ac:dyDescent="0.15">
      <c r="A40" s="37" t="s">
        <v>34</v>
      </c>
      <c r="B40" s="92"/>
      <c r="C40" s="6"/>
      <c r="D40" s="6"/>
    </row>
    <row r="41" spans="1:4" ht="13" x14ac:dyDescent="0.15">
      <c r="A41" s="42" t="s">
        <v>39</v>
      </c>
      <c r="B41" s="92"/>
      <c r="C41" s="6"/>
      <c r="D41" s="3">
        <v>20950</v>
      </c>
    </row>
    <row r="42" spans="1:4" ht="13" x14ac:dyDescent="0.15">
      <c r="A42" s="42" t="s">
        <v>44</v>
      </c>
      <c r="B42" s="92"/>
      <c r="C42" s="6"/>
      <c r="D42" s="6"/>
    </row>
    <row r="43" spans="1:4" ht="13" x14ac:dyDescent="0.15">
      <c r="A43" s="42" t="s">
        <v>41</v>
      </c>
      <c r="B43" s="92"/>
      <c r="C43" s="6"/>
      <c r="D43" s="6"/>
    </row>
    <row r="44" spans="1:4" ht="13" x14ac:dyDescent="0.15">
      <c r="A44" s="42" t="s">
        <v>19</v>
      </c>
      <c r="B44" s="92"/>
      <c r="C44" s="6"/>
      <c r="D44" s="6"/>
    </row>
    <row r="45" spans="1:4" ht="13" x14ac:dyDescent="0.15">
      <c r="A45" s="42" t="s">
        <v>31</v>
      </c>
      <c r="B45" s="92"/>
      <c r="C45" s="6"/>
      <c r="D45" s="6"/>
    </row>
    <row r="46" spans="1:4" ht="13" x14ac:dyDescent="0.15">
      <c r="A46" s="42" t="s">
        <v>7</v>
      </c>
      <c r="B46" s="92"/>
      <c r="C46" s="6"/>
      <c r="D46" s="6"/>
    </row>
    <row r="47" spans="1:4" ht="13" x14ac:dyDescent="0.15">
      <c r="A47" s="42" t="s">
        <v>20</v>
      </c>
      <c r="B47" s="92"/>
      <c r="C47" s="6"/>
      <c r="D47" s="6"/>
    </row>
    <row r="48" spans="1:4" ht="13" x14ac:dyDescent="0.15">
      <c r="A48" s="6" t="s">
        <v>27</v>
      </c>
      <c r="B48" s="38"/>
      <c r="C48" s="6"/>
      <c r="D48" s="6"/>
    </row>
    <row r="49" spans="1:2" ht="13" x14ac:dyDescent="0.15">
      <c r="B49" s="95"/>
    </row>
    <row r="50" spans="1:2" ht="13" x14ac:dyDescent="0.15">
      <c r="B50" s="95"/>
    </row>
    <row r="51" spans="1:2" ht="13" x14ac:dyDescent="0.15">
      <c r="B51" s="95"/>
    </row>
    <row r="52" spans="1:2" ht="13" x14ac:dyDescent="0.15">
      <c r="A52" s="36"/>
      <c r="B52" s="95"/>
    </row>
    <row r="53" spans="1:2" ht="13" x14ac:dyDescent="0.15">
      <c r="B53" s="95"/>
    </row>
    <row r="54" spans="1:2" ht="13" x14ac:dyDescent="0.15">
      <c r="B54" s="95"/>
    </row>
    <row r="55" spans="1:2" ht="13" x14ac:dyDescent="0.15">
      <c r="B55" s="95"/>
    </row>
    <row r="56" spans="1:2" ht="13" x14ac:dyDescent="0.15">
      <c r="B56" s="95"/>
    </row>
    <row r="57" spans="1:2" ht="13" x14ac:dyDescent="0.15">
      <c r="B57" s="95"/>
    </row>
    <row r="58" spans="1:2" ht="13" x14ac:dyDescent="0.15">
      <c r="B58" s="95"/>
    </row>
    <row r="59" spans="1:2" ht="13" x14ac:dyDescent="0.15">
      <c r="B59" s="95"/>
    </row>
    <row r="60" spans="1:2" ht="13" x14ac:dyDescent="0.15">
      <c r="B60" s="95"/>
    </row>
    <row r="61" spans="1:2" ht="13" x14ac:dyDescent="0.15">
      <c r="B61" s="95"/>
    </row>
    <row r="62" spans="1:2" ht="13" x14ac:dyDescent="0.15">
      <c r="B62" s="95"/>
    </row>
    <row r="63" spans="1:2" ht="13" x14ac:dyDescent="0.15">
      <c r="B63" s="95"/>
    </row>
    <row r="64" spans="1:2" ht="13" x14ac:dyDescent="0.15">
      <c r="B64" s="95"/>
    </row>
    <row r="65" spans="2:2" ht="13" x14ac:dyDescent="0.15">
      <c r="B65" s="95"/>
    </row>
    <row r="66" spans="2:2" ht="13" x14ac:dyDescent="0.15">
      <c r="B66" s="95"/>
    </row>
    <row r="67" spans="2:2" ht="13" x14ac:dyDescent="0.15">
      <c r="B67" s="95"/>
    </row>
    <row r="68" spans="2:2" ht="13" x14ac:dyDescent="0.15">
      <c r="B68" s="95"/>
    </row>
    <row r="69" spans="2:2" ht="13" x14ac:dyDescent="0.15">
      <c r="B69" s="95"/>
    </row>
    <row r="70" spans="2:2" ht="13" x14ac:dyDescent="0.15">
      <c r="B70" s="95"/>
    </row>
    <row r="71" spans="2:2" ht="13" x14ac:dyDescent="0.15">
      <c r="B71" s="95"/>
    </row>
    <row r="72" spans="2:2" ht="13" x14ac:dyDescent="0.15">
      <c r="B72" s="95"/>
    </row>
    <row r="73" spans="2:2" ht="13" x14ac:dyDescent="0.15">
      <c r="B73" s="95"/>
    </row>
    <row r="74" spans="2:2" ht="13" x14ac:dyDescent="0.15">
      <c r="B74" s="95"/>
    </row>
    <row r="75" spans="2:2" ht="13" x14ac:dyDescent="0.15">
      <c r="B75" s="95"/>
    </row>
    <row r="76" spans="2:2" ht="13" x14ac:dyDescent="0.15">
      <c r="B76" s="95"/>
    </row>
    <row r="77" spans="2:2" ht="13" x14ac:dyDescent="0.15">
      <c r="B77" s="95"/>
    </row>
    <row r="78" spans="2:2" ht="13" x14ac:dyDescent="0.15">
      <c r="B78" s="95"/>
    </row>
    <row r="79" spans="2:2" ht="13" x14ac:dyDescent="0.15">
      <c r="B79" s="95"/>
    </row>
    <row r="80" spans="2:2" ht="13" x14ac:dyDescent="0.15">
      <c r="B80" s="95"/>
    </row>
    <row r="81" spans="2:2" ht="13" x14ac:dyDescent="0.15">
      <c r="B81" s="95"/>
    </row>
    <row r="82" spans="2:2" ht="13" x14ac:dyDescent="0.15">
      <c r="B82" s="95"/>
    </row>
    <row r="83" spans="2:2" ht="13" x14ac:dyDescent="0.15">
      <c r="B83" s="95"/>
    </row>
    <row r="84" spans="2:2" ht="13" x14ac:dyDescent="0.15">
      <c r="B84" s="95"/>
    </row>
    <row r="85" spans="2:2" ht="13" x14ac:dyDescent="0.15">
      <c r="B85" s="95"/>
    </row>
    <row r="86" spans="2:2" ht="13" x14ac:dyDescent="0.15">
      <c r="B86" s="95"/>
    </row>
    <row r="87" spans="2:2" ht="13" x14ac:dyDescent="0.15">
      <c r="B87" s="95"/>
    </row>
    <row r="88" spans="2:2" ht="13" x14ac:dyDescent="0.15">
      <c r="B88" s="95"/>
    </row>
    <row r="89" spans="2:2" ht="13" x14ac:dyDescent="0.15">
      <c r="B89" s="95"/>
    </row>
    <row r="90" spans="2:2" ht="13" x14ac:dyDescent="0.15">
      <c r="B90" s="95"/>
    </row>
    <row r="91" spans="2:2" ht="13" x14ac:dyDescent="0.15">
      <c r="B91" s="95"/>
    </row>
    <row r="92" spans="2:2" ht="13" x14ac:dyDescent="0.15">
      <c r="B92" s="95"/>
    </row>
    <row r="93" spans="2:2" ht="13" x14ac:dyDescent="0.15">
      <c r="B93" s="95"/>
    </row>
    <row r="94" spans="2:2" ht="13" x14ac:dyDescent="0.15">
      <c r="B94" s="95"/>
    </row>
    <row r="95" spans="2:2" ht="13" x14ac:dyDescent="0.15">
      <c r="B95" s="95"/>
    </row>
    <row r="96" spans="2:2" ht="13" x14ac:dyDescent="0.15">
      <c r="B96" s="95"/>
    </row>
    <row r="97" spans="2:2" ht="13" x14ac:dyDescent="0.15">
      <c r="B97" s="95"/>
    </row>
    <row r="98" spans="2:2" ht="13" x14ac:dyDescent="0.15">
      <c r="B98" s="95"/>
    </row>
    <row r="99" spans="2:2" ht="13" x14ac:dyDescent="0.15">
      <c r="B99" s="95"/>
    </row>
    <row r="100" spans="2:2" ht="13" x14ac:dyDescent="0.15">
      <c r="B100" s="95"/>
    </row>
    <row r="101" spans="2:2" ht="13" x14ac:dyDescent="0.15">
      <c r="B101" s="95"/>
    </row>
    <row r="102" spans="2:2" ht="13" x14ac:dyDescent="0.15">
      <c r="B102" s="95"/>
    </row>
    <row r="103" spans="2:2" ht="13" x14ac:dyDescent="0.15">
      <c r="B103" s="95"/>
    </row>
    <row r="104" spans="2:2" ht="13" x14ac:dyDescent="0.15">
      <c r="B104" s="95"/>
    </row>
    <row r="105" spans="2:2" ht="13" x14ac:dyDescent="0.15">
      <c r="B105" s="95"/>
    </row>
    <row r="106" spans="2:2" ht="13" x14ac:dyDescent="0.15">
      <c r="B106" s="95"/>
    </row>
    <row r="107" spans="2:2" ht="13" x14ac:dyDescent="0.15">
      <c r="B107" s="95"/>
    </row>
    <row r="108" spans="2:2" ht="13" x14ac:dyDescent="0.15">
      <c r="B108" s="95"/>
    </row>
    <row r="109" spans="2:2" ht="13" x14ac:dyDescent="0.15">
      <c r="B109" s="95"/>
    </row>
    <row r="110" spans="2:2" ht="13" x14ac:dyDescent="0.15">
      <c r="B110" s="95"/>
    </row>
    <row r="111" spans="2:2" ht="13" x14ac:dyDescent="0.15">
      <c r="B111" s="95"/>
    </row>
    <row r="112" spans="2:2" ht="13" x14ac:dyDescent="0.15">
      <c r="B112" s="95"/>
    </row>
    <row r="113" spans="2:2" ht="13" x14ac:dyDescent="0.15">
      <c r="B113" s="95"/>
    </row>
    <row r="114" spans="2:2" ht="13" x14ac:dyDescent="0.15">
      <c r="B114" s="95"/>
    </row>
    <row r="115" spans="2:2" ht="13" x14ac:dyDescent="0.15">
      <c r="B115" s="95"/>
    </row>
    <row r="116" spans="2:2" ht="13" x14ac:dyDescent="0.15">
      <c r="B116" s="95"/>
    </row>
    <row r="117" spans="2:2" ht="13" x14ac:dyDescent="0.15">
      <c r="B117" s="95"/>
    </row>
    <row r="118" spans="2:2" ht="13" x14ac:dyDescent="0.15">
      <c r="B118" s="95"/>
    </row>
    <row r="119" spans="2:2" ht="13" x14ac:dyDescent="0.15">
      <c r="B119" s="95"/>
    </row>
    <row r="120" spans="2:2" ht="13" x14ac:dyDescent="0.15">
      <c r="B120" s="95"/>
    </row>
    <row r="121" spans="2:2" ht="13" x14ac:dyDescent="0.15">
      <c r="B121" s="95"/>
    </row>
    <row r="122" spans="2:2" ht="13" x14ac:dyDescent="0.15">
      <c r="B122" s="95"/>
    </row>
    <row r="123" spans="2:2" ht="13" x14ac:dyDescent="0.15">
      <c r="B123" s="95"/>
    </row>
    <row r="124" spans="2:2" ht="13" x14ac:dyDescent="0.15">
      <c r="B124" s="95"/>
    </row>
    <row r="125" spans="2:2" ht="13" x14ac:dyDescent="0.15">
      <c r="B125" s="95"/>
    </row>
    <row r="126" spans="2:2" ht="13" x14ac:dyDescent="0.15">
      <c r="B126" s="95"/>
    </row>
    <row r="127" spans="2:2" ht="13" x14ac:dyDescent="0.15">
      <c r="B127" s="95"/>
    </row>
    <row r="128" spans="2:2" ht="13" x14ac:dyDescent="0.15">
      <c r="B128" s="95"/>
    </row>
    <row r="129" spans="2:2" ht="13" x14ac:dyDescent="0.15">
      <c r="B129" s="95"/>
    </row>
    <row r="130" spans="2:2" ht="13" x14ac:dyDescent="0.15">
      <c r="B130" s="95"/>
    </row>
    <row r="131" spans="2:2" ht="13" x14ac:dyDescent="0.15">
      <c r="B131" s="95"/>
    </row>
    <row r="132" spans="2:2" ht="13" x14ac:dyDescent="0.15">
      <c r="B132" s="95"/>
    </row>
    <row r="133" spans="2:2" ht="13" x14ac:dyDescent="0.15">
      <c r="B133" s="95"/>
    </row>
    <row r="134" spans="2:2" ht="13" x14ac:dyDescent="0.15">
      <c r="B134" s="95"/>
    </row>
    <row r="135" spans="2:2" ht="13" x14ac:dyDescent="0.15">
      <c r="B135" s="95"/>
    </row>
    <row r="136" spans="2:2" ht="13" x14ac:dyDescent="0.15">
      <c r="B136" s="95"/>
    </row>
    <row r="137" spans="2:2" ht="13" x14ac:dyDescent="0.15">
      <c r="B137" s="95"/>
    </row>
    <row r="138" spans="2:2" ht="13" x14ac:dyDescent="0.15">
      <c r="B138" s="95"/>
    </row>
    <row r="139" spans="2:2" ht="13" x14ac:dyDescent="0.15">
      <c r="B139" s="95"/>
    </row>
    <row r="140" spans="2:2" ht="13" x14ac:dyDescent="0.15">
      <c r="B140" s="95"/>
    </row>
    <row r="141" spans="2:2" ht="13" x14ac:dyDescent="0.15">
      <c r="B141" s="95"/>
    </row>
    <row r="142" spans="2:2" ht="13" x14ac:dyDescent="0.15">
      <c r="B142" s="95"/>
    </row>
    <row r="143" spans="2:2" ht="13" x14ac:dyDescent="0.15">
      <c r="B143" s="95"/>
    </row>
    <row r="144" spans="2:2" ht="13" x14ac:dyDescent="0.15">
      <c r="B144" s="95"/>
    </row>
    <row r="145" spans="2:2" ht="13" x14ac:dyDescent="0.15">
      <c r="B145" s="95"/>
    </row>
    <row r="146" spans="2:2" ht="13" x14ac:dyDescent="0.15">
      <c r="B146" s="95"/>
    </row>
    <row r="147" spans="2:2" ht="13" x14ac:dyDescent="0.15">
      <c r="B147" s="95"/>
    </row>
    <row r="148" spans="2:2" ht="13" x14ac:dyDescent="0.15">
      <c r="B148" s="95"/>
    </row>
    <row r="149" spans="2:2" ht="13" x14ac:dyDescent="0.15">
      <c r="B149" s="95"/>
    </row>
    <row r="150" spans="2:2" ht="13" x14ac:dyDescent="0.15">
      <c r="B150" s="95"/>
    </row>
    <row r="151" spans="2:2" ht="13" x14ac:dyDescent="0.15">
      <c r="B151" s="95"/>
    </row>
    <row r="152" spans="2:2" ht="13" x14ac:dyDescent="0.15">
      <c r="B152" s="95"/>
    </row>
    <row r="153" spans="2:2" ht="13" x14ac:dyDescent="0.15">
      <c r="B153" s="95"/>
    </row>
    <row r="154" spans="2:2" ht="13" x14ac:dyDescent="0.15">
      <c r="B154" s="95"/>
    </row>
    <row r="155" spans="2:2" ht="13" x14ac:dyDescent="0.15">
      <c r="B155" s="95"/>
    </row>
    <row r="156" spans="2:2" ht="13" x14ac:dyDescent="0.15">
      <c r="B156" s="95"/>
    </row>
    <row r="157" spans="2:2" ht="13" x14ac:dyDescent="0.15">
      <c r="B157" s="95"/>
    </row>
    <row r="158" spans="2:2" ht="13" x14ac:dyDescent="0.15">
      <c r="B158" s="95"/>
    </row>
    <row r="159" spans="2:2" ht="13" x14ac:dyDescent="0.15">
      <c r="B159" s="95"/>
    </row>
    <row r="160" spans="2:2" ht="13" x14ac:dyDescent="0.15">
      <c r="B160" s="95"/>
    </row>
    <row r="161" spans="2:2" ht="13" x14ac:dyDescent="0.15">
      <c r="B161" s="95"/>
    </row>
    <row r="162" spans="2:2" ht="13" x14ac:dyDescent="0.15">
      <c r="B162" s="95"/>
    </row>
    <row r="163" spans="2:2" ht="13" x14ac:dyDescent="0.15">
      <c r="B163" s="95"/>
    </row>
    <row r="164" spans="2:2" ht="13" x14ac:dyDescent="0.15">
      <c r="B164" s="95"/>
    </row>
    <row r="165" spans="2:2" ht="13" x14ac:dyDescent="0.15">
      <c r="B165" s="95"/>
    </row>
    <row r="166" spans="2:2" ht="13" x14ac:dyDescent="0.15">
      <c r="B166" s="95"/>
    </row>
    <row r="167" spans="2:2" ht="13" x14ac:dyDescent="0.15">
      <c r="B167" s="95"/>
    </row>
    <row r="168" spans="2:2" ht="13" x14ac:dyDescent="0.15">
      <c r="B168" s="95"/>
    </row>
    <row r="169" spans="2:2" ht="13" x14ac:dyDescent="0.15">
      <c r="B169" s="95"/>
    </row>
    <row r="170" spans="2:2" ht="13" x14ac:dyDescent="0.15">
      <c r="B170" s="95"/>
    </row>
    <row r="171" spans="2:2" ht="13" x14ac:dyDescent="0.15">
      <c r="B171" s="95"/>
    </row>
    <row r="172" spans="2:2" ht="13" x14ac:dyDescent="0.15">
      <c r="B172" s="95"/>
    </row>
    <row r="173" spans="2:2" ht="13" x14ac:dyDescent="0.15">
      <c r="B173" s="95"/>
    </row>
    <row r="174" spans="2:2" ht="13" x14ac:dyDescent="0.15">
      <c r="B174" s="95"/>
    </row>
    <row r="175" spans="2:2" ht="13" x14ac:dyDescent="0.15">
      <c r="B175" s="95"/>
    </row>
    <row r="176" spans="2:2" ht="13" x14ac:dyDescent="0.15">
      <c r="B176" s="95"/>
    </row>
    <row r="177" spans="2:2" ht="13" x14ac:dyDescent="0.15">
      <c r="B177" s="95"/>
    </row>
    <row r="178" spans="2:2" ht="13" x14ac:dyDescent="0.15">
      <c r="B178" s="95"/>
    </row>
    <row r="179" spans="2:2" ht="13" x14ac:dyDescent="0.15">
      <c r="B179" s="95"/>
    </row>
    <row r="180" spans="2:2" ht="13" x14ac:dyDescent="0.15">
      <c r="B180" s="95"/>
    </row>
    <row r="181" spans="2:2" ht="13" x14ac:dyDescent="0.15">
      <c r="B181" s="95"/>
    </row>
    <row r="182" spans="2:2" ht="13" x14ac:dyDescent="0.15">
      <c r="B182" s="95"/>
    </row>
    <row r="183" spans="2:2" ht="13" x14ac:dyDescent="0.15">
      <c r="B183" s="95"/>
    </row>
    <row r="184" spans="2:2" ht="13" x14ac:dyDescent="0.15">
      <c r="B184" s="95"/>
    </row>
    <row r="185" spans="2:2" ht="13" x14ac:dyDescent="0.15">
      <c r="B185" s="95"/>
    </row>
    <row r="186" spans="2:2" ht="13" x14ac:dyDescent="0.15">
      <c r="B186" s="95"/>
    </row>
    <row r="187" spans="2:2" ht="13" x14ac:dyDescent="0.15">
      <c r="B187" s="95"/>
    </row>
    <row r="188" spans="2:2" ht="13" x14ac:dyDescent="0.15">
      <c r="B188" s="95"/>
    </row>
    <row r="189" spans="2:2" ht="13" x14ac:dyDescent="0.15">
      <c r="B189" s="95"/>
    </row>
    <row r="190" spans="2:2" ht="13" x14ac:dyDescent="0.15">
      <c r="B190" s="95"/>
    </row>
    <row r="191" spans="2:2" ht="13" x14ac:dyDescent="0.15">
      <c r="B191" s="95"/>
    </row>
    <row r="192" spans="2:2" ht="13" x14ac:dyDescent="0.15">
      <c r="B192" s="95"/>
    </row>
    <row r="193" spans="2:2" ht="13" x14ac:dyDescent="0.15">
      <c r="B193" s="95"/>
    </row>
    <row r="194" spans="2:2" ht="13" x14ac:dyDescent="0.15">
      <c r="B194" s="95"/>
    </row>
    <row r="195" spans="2:2" ht="13" x14ac:dyDescent="0.15">
      <c r="B195" s="95"/>
    </row>
    <row r="196" spans="2:2" ht="13" x14ac:dyDescent="0.15">
      <c r="B196" s="95"/>
    </row>
    <row r="197" spans="2:2" ht="13" x14ac:dyDescent="0.15">
      <c r="B197" s="95"/>
    </row>
    <row r="198" spans="2:2" ht="13" x14ac:dyDescent="0.15">
      <c r="B198" s="95"/>
    </row>
    <row r="199" spans="2:2" ht="13" x14ac:dyDescent="0.15">
      <c r="B199" s="95"/>
    </row>
    <row r="200" spans="2:2" ht="13" x14ac:dyDescent="0.15">
      <c r="B200" s="95"/>
    </row>
    <row r="201" spans="2:2" ht="13" x14ac:dyDescent="0.15">
      <c r="B201" s="95"/>
    </row>
    <row r="202" spans="2:2" ht="13" x14ac:dyDescent="0.15">
      <c r="B202" s="95"/>
    </row>
    <row r="203" spans="2:2" ht="13" x14ac:dyDescent="0.15">
      <c r="B203" s="95"/>
    </row>
    <row r="204" spans="2:2" ht="13" x14ac:dyDescent="0.15">
      <c r="B204" s="95"/>
    </row>
    <row r="205" spans="2:2" ht="13" x14ac:dyDescent="0.15">
      <c r="B205" s="95"/>
    </row>
    <row r="206" spans="2:2" ht="13" x14ac:dyDescent="0.15">
      <c r="B206" s="95"/>
    </row>
    <row r="207" spans="2:2" ht="13" x14ac:dyDescent="0.15">
      <c r="B207" s="95"/>
    </row>
    <row r="208" spans="2:2" ht="13" x14ac:dyDescent="0.15">
      <c r="B208" s="95"/>
    </row>
    <row r="209" spans="2:2" ht="13" x14ac:dyDescent="0.15">
      <c r="B209" s="95"/>
    </row>
    <row r="210" spans="2:2" ht="13" x14ac:dyDescent="0.15">
      <c r="B210" s="95"/>
    </row>
    <row r="211" spans="2:2" ht="13" x14ac:dyDescent="0.15">
      <c r="B211" s="95"/>
    </row>
    <row r="212" spans="2:2" ht="13" x14ac:dyDescent="0.15">
      <c r="B212" s="95"/>
    </row>
    <row r="213" spans="2:2" ht="13" x14ac:dyDescent="0.15">
      <c r="B213" s="95"/>
    </row>
    <row r="214" spans="2:2" ht="13" x14ac:dyDescent="0.15">
      <c r="B214" s="95"/>
    </row>
    <row r="215" spans="2:2" ht="13" x14ac:dyDescent="0.15">
      <c r="B215" s="95"/>
    </row>
    <row r="216" spans="2:2" ht="13" x14ac:dyDescent="0.15">
      <c r="B216" s="95"/>
    </row>
    <row r="217" spans="2:2" ht="13" x14ac:dyDescent="0.15">
      <c r="B217" s="95"/>
    </row>
    <row r="218" spans="2:2" ht="13" x14ac:dyDescent="0.15">
      <c r="B218" s="95"/>
    </row>
    <row r="219" spans="2:2" ht="13" x14ac:dyDescent="0.15">
      <c r="B219" s="95"/>
    </row>
    <row r="220" spans="2:2" ht="13" x14ac:dyDescent="0.15">
      <c r="B220" s="95"/>
    </row>
    <row r="221" spans="2:2" ht="13" x14ac:dyDescent="0.15">
      <c r="B221" s="95"/>
    </row>
    <row r="222" spans="2:2" ht="13" x14ac:dyDescent="0.15">
      <c r="B222" s="95"/>
    </row>
    <row r="223" spans="2:2" ht="13" x14ac:dyDescent="0.15">
      <c r="B223" s="95"/>
    </row>
    <row r="224" spans="2:2" ht="13" x14ac:dyDescent="0.15">
      <c r="B224" s="95"/>
    </row>
    <row r="225" spans="2:2" ht="13" x14ac:dyDescent="0.15">
      <c r="B225" s="95"/>
    </row>
    <row r="226" spans="2:2" ht="13" x14ac:dyDescent="0.15">
      <c r="B226" s="95"/>
    </row>
    <row r="227" spans="2:2" ht="13" x14ac:dyDescent="0.15">
      <c r="B227" s="95"/>
    </row>
    <row r="228" spans="2:2" ht="13" x14ac:dyDescent="0.15">
      <c r="B228" s="95"/>
    </row>
    <row r="229" spans="2:2" ht="13" x14ac:dyDescent="0.15">
      <c r="B229" s="95"/>
    </row>
    <row r="230" spans="2:2" ht="13" x14ac:dyDescent="0.15">
      <c r="B230" s="95"/>
    </row>
    <row r="231" spans="2:2" ht="13" x14ac:dyDescent="0.15">
      <c r="B231" s="95"/>
    </row>
    <row r="232" spans="2:2" ht="13" x14ac:dyDescent="0.15">
      <c r="B232" s="95"/>
    </row>
    <row r="233" spans="2:2" ht="13" x14ac:dyDescent="0.15">
      <c r="B233" s="95"/>
    </row>
    <row r="234" spans="2:2" ht="13" x14ac:dyDescent="0.15">
      <c r="B234" s="95"/>
    </row>
    <row r="235" spans="2:2" ht="13" x14ac:dyDescent="0.15">
      <c r="B235" s="95"/>
    </row>
    <row r="236" spans="2:2" ht="13" x14ac:dyDescent="0.15">
      <c r="B236" s="95"/>
    </row>
    <row r="237" spans="2:2" ht="13" x14ac:dyDescent="0.15">
      <c r="B237" s="95"/>
    </row>
    <row r="238" spans="2:2" ht="13" x14ac:dyDescent="0.15">
      <c r="B238" s="95"/>
    </row>
    <row r="239" spans="2:2" ht="13" x14ac:dyDescent="0.15">
      <c r="B239" s="95"/>
    </row>
    <row r="240" spans="2:2" ht="13" x14ac:dyDescent="0.15">
      <c r="B240" s="95"/>
    </row>
    <row r="241" spans="2:2" ht="13" x14ac:dyDescent="0.15">
      <c r="B241" s="95"/>
    </row>
    <row r="242" spans="2:2" ht="13" x14ac:dyDescent="0.15">
      <c r="B242" s="95"/>
    </row>
    <row r="243" spans="2:2" ht="13" x14ac:dyDescent="0.15">
      <c r="B243" s="95"/>
    </row>
    <row r="244" spans="2:2" ht="13" x14ac:dyDescent="0.15">
      <c r="B244" s="95"/>
    </row>
    <row r="245" spans="2:2" ht="13" x14ac:dyDescent="0.15">
      <c r="B245" s="95"/>
    </row>
    <row r="246" spans="2:2" ht="13" x14ac:dyDescent="0.15">
      <c r="B246" s="95"/>
    </row>
    <row r="247" spans="2:2" ht="13" x14ac:dyDescent="0.15">
      <c r="B247" s="95"/>
    </row>
    <row r="248" spans="2:2" ht="13" x14ac:dyDescent="0.15">
      <c r="B248" s="95"/>
    </row>
    <row r="249" spans="2:2" ht="13" x14ac:dyDescent="0.15">
      <c r="B249" s="95"/>
    </row>
    <row r="250" spans="2:2" ht="13" x14ac:dyDescent="0.15">
      <c r="B250" s="95"/>
    </row>
    <row r="251" spans="2:2" ht="13" x14ac:dyDescent="0.15">
      <c r="B251" s="95"/>
    </row>
    <row r="252" spans="2:2" ht="13" x14ac:dyDescent="0.15">
      <c r="B252" s="95"/>
    </row>
    <row r="253" spans="2:2" ht="13" x14ac:dyDescent="0.15">
      <c r="B253" s="95"/>
    </row>
    <row r="254" spans="2:2" ht="13" x14ac:dyDescent="0.15">
      <c r="B254" s="95"/>
    </row>
    <row r="255" spans="2:2" ht="13" x14ac:dyDescent="0.15">
      <c r="B255" s="95"/>
    </row>
    <row r="256" spans="2:2" ht="13" x14ac:dyDescent="0.15">
      <c r="B256" s="95"/>
    </row>
    <row r="257" spans="2:2" ht="13" x14ac:dyDescent="0.15">
      <c r="B257" s="95"/>
    </row>
    <row r="258" spans="2:2" ht="13" x14ac:dyDescent="0.15">
      <c r="B258" s="95"/>
    </row>
    <row r="259" spans="2:2" ht="13" x14ac:dyDescent="0.15">
      <c r="B259" s="95"/>
    </row>
    <row r="260" spans="2:2" ht="13" x14ac:dyDescent="0.15">
      <c r="B260" s="95"/>
    </row>
    <row r="261" spans="2:2" ht="13" x14ac:dyDescent="0.15">
      <c r="B261" s="95"/>
    </row>
    <row r="262" spans="2:2" ht="13" x14ac:dyDescent="0.15">
      <c r="B262" s="95"/>
    </row>
    <row r="263" spans="2:2" ht="13" x14ac:dyDescent="0.15">
      <c r="B263" s="95"/>
    </row>
    <row r="264" spans="2:2" ht="13" x14ac:dyDescent="0.15">
      <c r="B264" s="95"/>
    </row>
    <row r="265" spans="2:2" ht="13" x14ac:dyDescent="0.15">
      <c r="B265" s="95"/>
    </row>
    <row r="266" spans="2:2" ht="13" x14ac:dyDescent="0.15">
      <c r="B266" s="95"/>
    </row>
    <row r="267" spans="2:2" ht="13" x14ac:dyDescent="0.15">
      <c r="B267" s="95"/>
    </row>
    <row r="268" spans="2:2" ht="13" x14ac:dyDescent="0.15">
      <c r="B268" s="95"/>
    </row>
    <row r="269" spans="2:2" ht="13" x14ac:dyDescent="0.15">
      <c r="B269" s="95"/>
    </row>
    <row r="270" spans="2:2" ht="13" x14ac:dyDescent="0.15">
      <c r="B270" s="95"/>
    </row>
    <row r="271" spans="2:2" ht="13" x14ac:dyDescent="0.15">
      <c r="B271" s="95"/>
    </row>
    <row r="272" spans="2:2" ht="13" x14ac:dyDescent="0.15">
      <c r="B272" s="95"/>
    </row>
    <row r="273" spans="2:2" ht="13" x14ac:dyDescent="0.15">
      <c r="B273" s="95"/>
    </row>
    <row r="274" spans="2:2" ht="13" x14ac:dyDescent="0.15">
      <c r="B274" s="95"/>
    </row>
    <row r="275" spans="2:2" ht="13" x14ac:dyDescent="0.15">
      <c r="B275" s="95"/>
    </row>
    <row r="276" spans="2:2" ht="13" x14ac:dyDescent="0.15">
      <c r="B276" s="95"/>
    </row>
    <row r="277" spans="2:2" ht="13" x14ac:dyDescent="0.15">
      <c r="B277" s="95"/>
    </row>
    <row r="278" spans="2:2" ht="13" x14ac:dyDescent="0.15">
      <c r="B278" s="95"/>
    </row>
    <row r="279" spans="2:2" ht="13" x14ac:dyDescent="0.15">
      <c r="B279" s="95"/>
    </row>
    <row r="280" spans="2:2" ht="13" x14ac:dyDescent="0.15">
      <c r="B280" s="95"/>
    </row>
    <row r="281" spans="2:2" ht="13" x14ac:dyDescent="0.15">
      <c r="B281" s="95"/>
    </row>
    <row r="282" spans="2:2" ht="13" x14ac:dyDescent="0.15">
      <c r="B282" s="95"/>
    </row>
    <row r="283" spans="2:2" ht="13" x14ac:dyDescent="0.15">
      <c r="B283" s="95"/>
    </row>
    <row r="284" spans="2:2" ht="13" x14ac:dyDescent="0.15">
      <c r="B284" s="95"/>
    </row>
    <row r="285" spans="2:2" ht="13" x14ac:dyDescent="0.15">
      <c r="B285" s="95"/>
    </row>
    <row r="286" spans="2:2" ht="13" x14ac:dyDescent="0.15">
      <c r="B286" s="95"/>
    </row>
    <row r="287" spans="2:2" ht="13" x14ac:dyDescent="0.15">
      <c r="B287" s="95"/>
    </row>
    <row r="288" spans="2:2" ht="13" x14ac:dyDescent="0.15">
      <c r="B288" s="95"/>
    </row>
    <row r="289" spans="2:2" ht="13" x14ac:dyDescent="0.15">
      <c r="B289" s="95"/>
    </row>
    <row r="290" spans="2:2" ht="13" x14ac:dyDescent="0.15">
      <c r="B290" s="95"/>
    </row>
    <row r="291" spans="2:2" ht="13" x14ac:dyDescent="0.15">
      <c r="B291" s="95"/>
    </row>
    <row r="292" spans="2:2" ht="13" x14ac:dyDescent="0.15">
      <c r="B292" s="95"/>
    </row>
    <row r="293" spans="2:2" ht="13" x14ac:dyDescent="0.15">
      <c r="B293" s="95"/>
    </row>
    <row r="294" spans="2:2" ht="13" x14ac:dyDescent="0.15">
      <c r="B294" s="95"/>
    </row>
    <row r="295" spans="2:2" ht="13" x14ac:dyDescent="0.15">
      <c r="B295" s="95"/>
    </row>
    <row r="296" spans="2:2" ht="13" x14ac:dyDescent="0.15">
      <c r="B296" s="95"/>
    </row>
    <row r="297" spans="2:2" ht="13" x14ac:dyDescent="0.15">
      <c r="B297" s="95"/>
    </row>
    <row r="298" spans="2:2" ht="13" x14ac:dyDescent="0.15">
      <c r="B298" s="95"/>
    </row>
    <row r="299" spans="2:2" ht="13" x14ac:dyDescent="0.15">
      <c r="B299" s="95"/>
    </row>
    <row r="300" spans="2:2" ht="13" x14ac:dyDescent="0.15">
      <c r="B300" s="95"/>
    </row>
    <row r="301" spans="2:2" ht="13" x14ac:dyDescent="0.15">
      <c r="B301" s="95"/>
    </row>
    <row r="302" spans="2:2" ht="13" x14ac:dyDescent="0.15">
      <c r="B302" s="95"/>
    </row>
    <row r="303" spans="2:2" ht="13" x14ac:dyDescent="0.15">
      <c r="B303" s="95"/>
    </row>
    <row r="304" spans="2:2" ht="13" x14ac:dyDescent="0.15">
      <c r="B304" s="95"/>
    </row>
    <row r="305" spans="2:2" ht="13" x14ac:dyDescent="0.15">
      <c r="B305" s="95"/>
    </row>
    <row r="306" spans="2:2" ht="13" x14ac:dyDescent="0.15">
      <c r="B306" s="95"/>
    </row>
    <row r="307" spans="2:2" ht="13" x14ac:dyDescent="0.15">
      <c r="B307" s="95"/>
    </row>
    <row r="308" spans="2:2" ht="13" x14ac:dyDescent="0.15">
      <c r="B308" s="95"/>
    </row>
    <row r="309" spans="2:2" ht="13" x14ac:dyDescent="0.15">
      <c r="B309" s="95"/>
    </row>
    <row r="310" spans="2:2" ht="13" x14ac:dyDescent="0.15">
      <c r="B310" s="95"/>
    </row>
    <row r="311" spans="2:2" ht="13" x14ac:dyDescent="0.15">
      <c r="B311" s="95"/>
    </row>
    <row r="312" spans="2:2" ht="13" x14ac:dyDescent="0.15">
      <c r="B312" s="95"/>
    </row>
    <row r="313" spans="2:2" ht="13" x14ac:dyDescent="0.15">
      <c r="B313" s="95"/>
    </row>
    <row r="314" spans="2:2" ht="13" x14ac:dyDescent="0.15">
      <c r="B314" s="95"/>
    </row>
    <row r="315" spans="2:2" ht="13" x14ac:dyDescent="0.15">
      <c r="B315" s="95"/>
    </row>
    <row r="316" spans="2:2" ht="13" x14ac:dyDescent="0.15">
      <c r="B316" s="95"/>
    </row>
    <row r="317" spans="2:2" ht="13" x14ac:dyDescent="0.15">
      <c r="B317" s="95"/>
    </row>
    <row r="318" spans="2:2" ht="13" x14ac:dyDescent="0.15">
      <c r="B318" s="95"/>
    </row>
    <row r="319" spans="2:2" ht="13" x14ac:dyDescent="0.15">
      <c r="B319" s="95"/>
    </row>
    <row r="320" spans="2:2" ht="13" x14ac:dyDescent="0.15">
      <c r="B320" s="95"/>
    </row>
    <row r="321" spans="2:2" ht="13" x14ac:dyDescent="0.15">
      <c r="B321" s="95"/>
    </row>
    <row r="322" spans="2:2" ht="13" x14ac:dyDescent="0.15">
      <c r="B322" s="95"/>
    </row>
    <row r="323" spans="2:2" ht="13" x14ac:dyDescent="0.15">
      <c r="B323" s="95"/>
    </row>
    <row r="324" spans="2:2" ht="13" x14ac:dyDescent="0.15">
      <c r="B324" s="95"/>
    </row>
    <row r="325" spans="2:2" ht="13" x14ac:dyDescent="0.15">
      <c r="B325" s="95"/>
    </row>
    <row r="326" spans="2:2" ht="13" x14ac:dyDescent="0.15">
      <c r="B326" s="95"/>
    </row>
    <row r="327" spans="2:2" ht="13" x14ac:dyDescent="0.15">
      <c r="B327" s="95"/>
    </row>
    <row r="328" spans="2:2" ht="13" x14ac:dyDescent="0.15">
      <c r="B328" s="95"/>
    </row>
    <row r="329" spans="2:2" ht="13" x14ac:dyDescent="0.15">
      <c r="B329" s="95"/>
    </row>
    <row r="330" spans="2:2" ht="13" x14ac:dyDescent="0.15">
      <c r="B330" s="95"/>
    </row>
    <row r="331" spans="2:2" ht="13" x14ac:dyDescent="0.15">
      <c r="B331" s="95"/>
    </row>
    <row r="332" spans="2:2" ht="13" x14ac:dyDescent="0.15">
      <c r="B332" s="95"/>
    </row>
    <row r="333" spans="2:2" ht="13" x14ac:dyDescent="0.15">
      <c r="B333" s="95"/>
    </row>
    <row r="334" spans="2:2" ht="13" x14ac:dyDescent="0.15">
      <c r="B334" s="95"/>
    </row>
    <row r="335" spans="2:2" ht="13" x14ac:dyDescent="0.15">
      <c r="B335" s="95"/>
    </row>
    <row r="336" spans="2:2" ht="13" x14ac:dyDescent="0.15">
      <c r="B336" s="95"/>
    </row>
    <row r="337" spans="2:2" ht="13" x14ac:dyDescent="0.15">
      <c r="B337" s="95"/>
    </row>
    <row r="338" spans="2:2" ht="13" x14ac:dyDescent="0.15">
      <c r="B338" s="95"/>
    </row>
    <row r="339" spans="2:2" ht="13" x14ac:dyDescent="0.15">
      <c r="B339" s="95"/>
    </row>
    <row r="340" spans="2:2" ht="13" x14ac:dyDescent="0.15">
      <c r="B340" s="95"/>
    </row>
    <row r="341" spans="2:2" ht="13" x14ac:dyDescent="0.15">
      <c r="B341" s="95"/>
    </row>
    <row r="342" spans="2:2" ht="13" x14ac:dyDescent="0.15">
      <c r="B342" s="95"/>
    </row>
    <row r="343" spans="2:2" ht="13" x14ac:dyDescent="0.15">
      <c r="B343" s="95"/>
    </row>
    <row r="344" spans="2:2" ht="13" x14ac:dyDescent="0.15">
      <c r="B344" s="95"/>
    </row>
    <row r="345" spans="2:2" ht="13" x14ac:dyDescent="0.15">
      <c r="B345" s="95"/>
    </row>
    <row r="346" spans="2:2" ht="13" x14ac:dyDescent="0.15">
      <c r="B346" s="95"/>
    </row>
    <row r="347" spans="2:2" ht="13" x14ac:dyDescent="0.15">
      <c r="B347" s="95"/>
    </row>
    <row r="348" spans="2:2" ht="13" x14ac:dyDescent="0.15">
      <c r="B348" s="95"/>
    </row>
    <row r="349" spans="2:2" ht="13" x14ac:dyDescent="0.15">
      <c r="B349" s="95"/>
    </row>
    <row r="350" spans="2:2" ht="13" x14ac:dyDescent="0.15">
      <c r="B350" s="95"/>
    </row>
    <row r="351" spans="2:2" ht="13" x14ac:dyDescent="0.15">
      <c r="B351" s="95"/>
    </row>
    <row r="352" spans="2:2" ht="13" x14ac:dyDescent="0.15">
      <c r="B352" s="95"/>
    </row>
    <row r="353" spans="2:2" ht="13" x14ac:dyDescent="0.15">
      <c r="B353" s="95"/>
    </row>
    <row r="354" spans="2:2" ht="13" x14ac:dyDescent="0.15">
      <c r="B354" s="95"/>
    </row>
    <row r="355" spans="2:2" ht="13" x14ac:dyDescent="0.15">
      <c r="B355" s="95"/>
    </row>
    <row r="356" spans="2:2" ht="13" x14ac:dyDescent="0.15">
      <c r="B356" s="95"/>
    </row>
    <row r="357" spans="2:2" ht="13" x14ac:dyDescent="0.15">
      <c r="B357" s="95"/>
    </row>
    <row r="358" spans="2:2" ht="13" x14ac:dyDescent="0.15">
      <c r="B358" s="95"/>
    </row>
    <row r="359" spans="2:2" ht="13" x14ac:dyDescent="0.15">
      <c r="B359" s="95"/>
    </row>
    <row r="360" spans="2:2" ht="13" x14ac:dyDescent="0.15">
      <c r="B360" s="95"/>
    </row>
    <row r="361" spans="2:2" ht="13" x14ac:dyDescent="0.15">
      <c r="B361" s="95"/>
    </row>
    <row r="362" spans="2:2" ht="13" x14ac:dyDescent="0.15">
      <c r="B362" s="95"/>
    </row>
    <row r="363" spans="2:2" ht="13" x14ac:dyDescent="0.15">
      <c r="B363" s="95"/>
    </row>
    <row r="364" spans="2:2" ht="13" x14ac:dyDescent="0.15">
      <c r="B364" s="95"/>
    </row>
    <row r="365" spans="2:2" ht="13" x14ac:dyDescent="0.15">
      <c r="B365" s="95"/>
    </row>
    <row r="366" spans="2:2" ht="13" x14ac:dyDescent="0.15">
      <c r="B366" s="95"/>
    </row>
    <row r="367" spans="2:2" ht="13" x14ac:dyDescent="0.15">
      <c r="B367" s="95"/>
    </row>
    <row r="368" spans="2:2" ht="13" x14ac:dyDescent="0.15">
      <c r="B368" s="95"/>
    </row>
    <row r="369" spans="2:2" ht="13" x14ac:dyDescent="0.15">
      <c r="B369" s="95"/>
    </row>
    <row r="370" spans="2:2" ht="13" x14ac:dyDescent="0.15">
      <c r="B370" s="95"/>
    </row>
    <row r="371" spans="2:2" ht="13" x14ac:dyDescent="0.15">
      <c r="B371" s="95"/>
    </row>
    <row r="372" spans="2:2" ht="13" x14ac:dyDescent="0.15">
      <c r="B372" s="95"/>
    </row>
    <row r="373" spans="2:2" ht="13" x14ac:dyDescent="0.15">
      <c r="B373" s="95"/>
    </row>
    <row r="374" spans="2:2" ht="13" x14ac:dyDescent="0.15">
      <c r="B374" s="95"/>
    </row>
    <row r="375" spans="2:2" ht="13" x14ac:dyDescent="0.15">
      <c r="B375" s="95"/>
    </row>
    <row r="376" spans="2:2" ht="13" x14ac:dyDescent="0.15">
      <c r="B376" s="95"/>
    </row>
    <row r="377" spans="2:2" ht="13" x14ac:dyDescent="0.15">
      <c r="B377" s="95"/>
    </row>
    <row r="378" spans="2:2" ht="13" x14ac:dyDescent="0.15">
      <c r="B378" s="95"/>
    </row>
    <row r="379" spans="2:2" ht="13" x14ac:dyDescent="0.15">
      <c r="B379" s="95"/>
    </row>
    <row r="380" spans="2:2" ht="13" x14ac:dyDescent="0.15">
      <c r="B380" s="95"/>
    </row>
    <row r="381" spans="2:2" ht="13" x14ac:dyDescent="0.15">
      <c r="B381" s="95"/>
    </row>
    <row r="382" spans="2:2" ht="13" x14ac:dyDescent="0.15">
      <c r="B382" s="95"/>
    </row>
    <row r="383" spans="2:2" ht="13" x14ac:dyDescent="0.15">
      <c r="B383" s="95"/>
    </row>
    <row r="384" spans="2:2" ht="13" x14ac:dyDescent="0.15">
      <c r="B384" s="95"/>
    </row>
    <row r="385" spans="2:2" ht="13" x14ac:dyDescent="0.15">
      <c r="B385" s="95"/>
    </row>
    <row r="386" spans="2:2" ht="13" x14ac:dyDescent="0.15">
      <c r="B386" s="95"/>
    </row>
    <row r="387" spans="2:2" ht="13" x14ac:dyDescent="0.15">
      <c r="B387" s="95"/>
    </row>
    <row r="388" spans="2:2" ht="13" x14ac:dyDescent="0.15">
      <c r="B388" s="95"/>
    </row>
    <row r="389" spans="2:2" ht="13" x14ac:dyDescent="0.15">
      <c r="B389" s="95"/>
    </row>
    <row r="390" spans="2:2" ht="13" x14ac:dyDescent="0.15">
      <c r="B390" s="95"/>
    </row>
    <row r="391" spans="2:2" ht="13" x14ac:dyDescent="0.15">
      <c r="B391" s="95"/>
    </row>
    <row r="392" spans="2:2" ht="13" x14ac:dyDescent="0.15">
      <c r="B392" s="95"/>
    </row>
    <row r="393" spans="2:2" ht="13" x14ac:dyDescent="0.15">
      <c r="B393" s="95"/>
    </row>
    <row r="394" spans="2:2" ht="13" x14ac:dyDescent="0.15">
      <c r="B394" s="95"/>
    </row>
    <row r="395" spans="2:2" ht="13" x14ac:dyDescent="0.15">
      <c r="B395" s="95"/>
    </row>
    <row r="396" spans="2:2" ht="13" x14ac:dyDescent="0.15">
      <c r="B396" s="95"/>
    </row>
    <row r="397" spans="2:2" ht="13" x14ac:dyDescent="0.15">
      <c r="B397" s="95"/>
    </row>
    <row r="398" spans="2:2" ht="13" x14ac:dyDescent="0.15">
      <c r="B398" s="95"/>
    </row>
    <row r="399" spans="2:2" ht="13" x14ac:dyDescent="0.15">
      <c r="B399" s="95"/>
    </row>
    <row r="400" spans="2:2" ht="13" x14ac:dyDescent="0.15">
      <c r="B400" s="95"/>
    </row>
    <row r="401" spans="2:2" ht="13" x14ac:dyDescent="0.15">
      <c r="B401" s="95"/>
    </row>
    <row r="402" spans="2:2" ht="13" x14ac:dyDescent="0.15">
      <c r="B402" s="95"/>
    </row>
    <row r="403" spans="2:2" ht="13" x14ac:dyDescent="0.15">
      <c r="B403" s="95"/>
    </row>
    <row r="404" spans="2:2" ht="13" x14ac:dyDescent="0.15">
      <c r="B404" s="95"/>
    </row>
    <row r="405" spans="2:2" ht="13" x14ac:dyDescent="0.15">
      <c r="B405" s="95"/>
    </row>
    <row r="406" spans="2:2" ht="13" x14ac:dyDescent="0.15">
      <c r="B406" s="95"/>
    </row>
    <row r="407" spans="2:2" ht="13" x14ac:dyDescent="0.15">
      <c r="B407" s="95"/>
    </row>
    <row r="408" spans="2:2" ht="13" x14ac:dyDescent="0.15">
      <c r="B408" s="95"/>
    </row>
    <row r="409" spans="2:2" ht="13" x14ac:dyDescent="0.15">
      <c r="B409" s="95"/>
    </row>
    <row r="410" spans="2:2" ht="13" x14ac:dyDescent="0.15">
      <c r="B410" s="95"/>
    </row>
    <row r="411" spans="2:2" ht="13" x14ac:dyDescent="0.15">
      <c r="B411" s="95"/>
    </row>
    <row r="412" spans="2:2" ht="13" x14ac:dyDescent="0.15">
      <c r="B412" s="95"/>
    </row>
    <row r="413" spans="2:2" ht="13" x14ac:dyDescent="0.15">
      <c r="B413" s="95"/>
    </row>
    <row r="414" spans="2:2" ht="13" x14ac:dyDescent="0.15">
      <c r="B414" s="95"/>
    </row>
    <row r="415" spans="2:2" ht="13" x14ac:dyDescent="0.15">
      <c r="B415" s="95"/>
    </row>
    <row r="416" spans="2:2" ht="13" x14ac:dyDescent="0.15">
      <c r="B416" s="95"/>
    </row>
    <row r="417" spans="2:2" ht="13" x14ac:dyDescent="0.15">
      <c r="B417" s="95"/>
    </row>
    <row r="418" spans="2:2" ht="13" x14ac:dyDescent="0.15">
      <c r="B418" s="95"/>
    </row>
    <row r="419" spans="2:2" ht="13" x14ac:dyDescent="0.15">
      <c r="B419" s="95"/>
    </row>
    <row r="420" spans="2:2" ht="13" x14ac:dyDescent="0.15">
      <c r="B420" s="95"/>
    </row>
    <row r="421" spans="2:2" ht="13" x14ac:dyDescent="0.15">
      <c r="B421" s="95"/>
    </row>
    <row r="422" spans="2:2" ht="13" x14ac:dyDescent="0.15">
      <c r="B422" s="95"/>
    </row>
    <row r="423" spans="2:2" ht="13" x14ac:dyDescent="0.15">
      <c r="B423" s="95"/>
    </row>
    <row r="424" spans="2:2" ht="13" x14ac:dyDescent="0.15">
      <c r="B424" s="95"/>
    </row>
    <row r="425" spans="2:2" ht="13" x14ac:dyDescent="0.15">
      <c r="B425" s="95"/>
    </row>
    <row r="426" spans="2:2" ht="13" x14ac:dyDescent="0.15">
      <c r="B426" s="95"/>
    </row>
    <row r="427" spans="2:2" ht="13" x14ac:dyDescent="0.15">
      <c r="B427" s="95"/>
    </row>
    <row r="428" spans="2:2" ht="13" x14ac:dyDescent="0.15">
      <c r="B428" s="95"/>
    </row>
    <row r="429" spans="2:2" ht="13" x14ac:dyDescent="0.15">
      <c r="B429" s="95"/>
    </row>
    <row r="430" spans="2:2" ht="13" x14ac:dyDescent="0.15">
      <c r="B430" s="95"/>
    </row>
    <row r="431" spans="2:2" ht="13" x14ac:dyDescent="0.15">
      <c r="B431" s="95"/>
    </row>
    <row r="432" spans="2:2" ht="13" x14ac:dyDescent="0.15">
      <c r="B432" s="95"/>
    </row>
    <row r="433" spans="2:2" ht="13" x14ac:dyDescent="0.15">
      <c r="B433" s="95"/>
    </row>
    <row r="434" spans="2:2" ht="13" x14ac:dyDescent="0.15">
      <c r="B434" s="95"/>
    </row>
    <row r="435" spans="2:2" ht="13" x14ac:dyDescent="0.15">
      <c r="B435" s="95"/>
    </row>
    <row r="436" spans="2:2" ht="13" x14ac:dyDescent="0.15">
      <c r="B436" s="95"/>
    </row>
    <row r="437" spans="2:2" ht="13" x14ac:dyDescent="0.15">
      <c r="B437" s="95"/>
    </row>
    <row r="438" spans="2:2" ht="13" x14ac:dyDescent="0.15">
      <c r="B438" s="95"/>
    </row>
    <row r="439" spans="2:2" ht="13" x14ac:dyDescent="0.15">
      <c r="B439" s="95"/>
    </row>
    <row r="440" spans="2:2" ht="13" x14ac:dyDescent="0.15">
      <c r="B440" s="95"/>
    </row>
    <row r="441" spans="2:2" ht="13" x14ac:dyDescent="0.15">
      <c r="B441" s="95"/>
    </row>
    <row r="442" spans="2:2" ht="13" x14ac:dyDescent="0.15">
      <c r="B442" s="95"/>
    </row>
    <row r="443" spans="2:2" ht="13" x14ac:dyDescent="0.15">
      <c r="B443" s="95"/>
    </row>
    <row r="444" spans="2:2" ht="13" x14ac:dyDescent="0.15">
      <c r="B444" s="95"/>
    </row>
    <row r="445" spans="2:2" ht="13" x14ac:dyDescent="0.15">
      <c r="B445" s="95"/>
    </row>
    <row r="446" spans="2:2" ht="13" x14ac:dyDescent="0.15">
      <c r="B446" s="95"/>
    </row>
    <row r="447" spans="2:2" ht="13" x14ac:dyDescent="0.15">
      <c r="B447" s="95"/>
    </row>
    <row r="448" spans="2:2" ht="13" x14ac:dyDescent="0.15">
      <c r="B448" s="95"/>
    </row>
    <row r="449" spans="2:2" ht="13" x14ac:dyDescent="0.15">
      <c r="B449" s="95"/>
    </row>
    <row r="450" spans="2:2" ht="13" x14ac:dyDescent="0.15">
      <c r="B450" s="95"/>
    </row>
    <row r="451" spans="2:2" ht="13" x14ac:dyDescent="0.15">
      <c r="B451" s="95"/>
    </row>
    <row r="452" spans="2:2" ht="13" x14ac:dyDescent="0.15">
      <c r="B452" s="95"/>
    </row>
    <row r="453" spans="2:2" ht="13" x14ac:dyDescent="0.15">
      <c r="B453" s="95"/>
    </row>
    <row r="454" spans="2:2" ht="13" x14ac:dyDescent="0.15">
      <c r="B454" s="95"/>
    </row>
    <row r="455" spans="2:2" ht="13" x14ac:dyDescent="0.15">
      <c r="B455" s="95"/>
    </row>
    <row r="456" spans="2:2" ht="13" x14ac:dyDescent="0.15">
      <c r="B456" s="95"/>
    </row>
    <row r="457" spans="2:2" ht="13" x14ac:dyDescent="0.15">
      <c r="B457" s="95"/>
    </row>
    <row r="458" spans="2:2" ht="13" x14ac:dyDescent="0.15">
      <c r="B458" s="95"/>
    </row>
    <row r="459" spans="2:2" ht="13" x14ac:dyDescent="0.15">
      <c r="B459" s="95"/>
    </row>
    <row r="460" spans="2:2" ht="13" x14ac:dyDescent="0.15">
      <c r="B460" s="95"/>
    </row>
    <row r="461" spans="2:2" ht="13" x14ac:dyDescent="0.15">
      <c r="B461" s="95"/>
    </row>
    <row r="462" spans="2:2" ht="13" x14ac:dyDescent="0.15">
      <c r="B462" s="95"/>
    </row>
    <row r="463" spans="2:2" ht="13" x14ac:dyDescent="0.15">
      <c r="B463" s="95"/>
    </row>
    <row r="464" spans="2:2" ht="13" x14ac:dyDescent="0.15">
      <c r="B464" s="95"/>
    </row>
    <row r="465" spans="2:2" ht="13" x14ac:dyDescent="0.15">
      <c r="B465" s="95"/>
    </row>
    <row r="466" spans="2:2" ht="13" x14ac:dyDescent="0.15">
      <c r="B466" s="95"/>
    </row>
    <row r="467" spans="2:2" ht="13" x14ac:dyDescent="0.15">
      <c r="B467" s="95"/>
    </row>
    <row r="468" spans="2:2" ht="13" x14ac:dyDescent="0.15">
      <c r="B468" s="95"/>
    </row>
    <row r="469" spans="2:2" ht="13" x14ac:dyDescent="0.15">
      <c r="B469" s="95"/>
    </row>
    <row r="470" spans="2:2" ht="13" x14ac:dyDescent="0.15">
      <c r="B470" s="95"/>
    </row>
    <row r="471" spans="2:2" ht="13" x14ac:dyDescent="0.15">
      <c r="B471" s="95"/>
    </row>
    <row r="472" spans="2:2" ht="13" x14ac:dyDescent="0.15">
      <c r="B472" s="95"/>
    </row>
    <row r="473" spans="2:2" ht="13" x14ac:dyDescent="0.15">
      <c r="B473" s="95"/>
    </row>
    <row r="474" spans="2:2" ht="13" x14ac:dyDescent="0.15">
      <c r="B474" s="95"/>
    </row>
    <row r="475" spans="2:2" ht="13" x14ac:dyDescent="0.15">
      <c r="B475" s="95"/>
    </row>
    <row r="476" spans="2:2" ht="13" x14ac:dyDescent="0.15">
      <c r="B476" s="95"/>
    </row>
    <row r="477" spans="2:2" ht="13" x14ac:dyDescent="0.15">
      <c r="B477" s="95"/>
    </row>
    <row r="478" spans="2:2" ht="13" x14ac:dyDescent="0.15">
      <c r="B478" s="95"/>
    </row>
    <row r="479" spans="2:2" ht="13" x14ac:dyDescent="0.15">
      <c r="B479" s="95"/>
    </row>
    <row r="480" spans="2:2" ht="13" x14ac:dyDescent="0.15">
      <c r="B480" s="95"/>
    </row>
    <row r="481" spans="2:2" ht="13" x14ac:dyDescent="0.15">
      <c r="B481" s="95"/>
    </row>
    <row r="482" spans="2:2" ht="13" x14ac:dyDescent="0.15">
      <c r="B482" s="95"/>
    </row>
    <row r="483" spans="2:2" ht="13" x14ac:dyDescent="0.15">
      <c r="B483" s="95"/>
    </row>
    <row r="484" spans="2:2" ht="13" x14ac:dyDescent="0.15">
      <c r="B484" s="95"/>
    </row>
    <row r="485" spans="2:2" ht="13" x14ac:dyDescent="0.15">
      <c r="B485" s="95"/>
    </row>
    <row r="486" spans="2:2" ht="13" x14ac:dyDescent="0.15">
      <c r="B486" s="95"/>
    </row>
    <row r="487" spans="2:2" ht="13" x14ac:dyDescent="0.15">
      <c r="B487" s="95"/>
    </row>
    <row r="488" spans="2:2" ht="13" x14ac:dyDescent="0.15">
      <c r="B488" s="95"/>
    </row>
    <row r="489" spans="2:2" ht="13" x14ac:dyDescent="0.15">
      <c r="B489" s="95"/>
    </row>
    <row r="490" spans="2:2" ht="13" x14ac:dyDescent="0.15">
      <c r="B490" s="95"/>
    </row>
    <row r="491" spans="2:2" ht="13" x14ac:dyDescent="0.15">
      <c r="B491" s="95"/>
    </row>
    <row r="492" spans="2:2" ht="13" x14ac:dyDescent="0.15">
      <c r="B492" s="95"/>
    </row>
    <row r="493" spans="2:2" ht="13" x14ac:dyDescent="0.15">
      <c r="B493" s="95"/>
    </row>
    <row r="494" spans="2:2" ht="13" x14ac:dyDescent="0.15">
      <c r="B494" s="95"/>
    </row>
    <row r="495" spans="2:2" ht="13" x14ac:dyDescent="0.15">
      <c r="B495" s="95"/>
    </row>
    <row r="496" spans="2:2" ht="13" x14ac:dyDescent="0.15">
      <c r="B496" s="95"/>
    </row>
    <row r="497" spans="2:2" ht="13" x14ac:dyDescent="0.15">
      <c r="B497" s="95"/>
    </row>
    <row r="498" spans="2:2" ht="13" x14ac:dyDescent="0.15">
      <c r="B498" s="95"/>
    </row>
    <row r="499" spans="2:2" ht="13" x14ac:dyDescent="0.15">
      <c r="B499" s="95"/>
    </row>
    <row r="500" spans="2:2" ht="13" x14ac:dyDescent="0.15">
      <c r="B500" s="95"/>
    </row>
    <row r="501" spans="2:2" ht="13" x14ac:dyDescent="0.15">
      <c r="B501" s="95"/>
    </row>
    <row r="502" spans="2:2" ht="13" x14ac:dyDescent="0.15">
      <c r="B502" s="95"/>
    </row>
    <row r="503" spans="2:2" ht="13" x14ac:dyDescent="0.15">
      <c r="B503" s="95"/>
    </row>
    <row r="504" spans="2:2" ht="13" x14ac:dyDescent="0.15">
      <c r="B504" s="95"/>
    </row>
    <row r="505" spans="2:2" ht="13" x14ac:dyDescent="0.15">
      <c r="B505" s="95"/>
    </row>
    <row r="506" spans="2:2" ht="13" x14ac:dyDescent="0.15">
      <c r="B506" s="95"/>
    </row>
    <row r="507" spans="2:2" ht="13" x14ac:dyDescent="0.15">
      <c r="B507" s="95"/>
    </row>
    <row r="508" spans="2:2" ht="13" x14ac:dyDescent="0.15">
      <c r="B508" s="95"/>
    </row>
    <row r="509" spans="2:2" ht="13" x14ac:dyDescent="0.15">
      <c r="B509" s="95"/>
    </row>
    <row r="510" spans="2:2" ht="13" x14ac:dyDescent="0.15">
      <c r="B510" s="95"/>
    </row>
    <row r="511" spans="2:2" ht="13" x14ac:dyDescent="0.15">
      <c r="B511" s="95"/>
    </row>
    <row r="512" spans="2:2" ht="13" x14ac:dyDescent="0.15">
      <c r="B512" s="95"/>
    </row>
    <row r="513" spans="2:2" ht="13" x14ac:dyDescent="0.15">
      <c r="B513" s="95"/>
    </row>
    <row r="514" spans="2:2" ht="13" x14ac:dyDescent="0.15">
      <c r="B514" s="95"/>
    </row>
    <row r="515" spans="2:2" ht="13" x14ac:dyDescent="0.15">
      <c r="B515" s="95"/>
    </row>
    <row r="516" spans="2:2" ht="13" x14ac:dyDescent="0.15">
      <c r="B516" s="95"/>
    </row>
    <row r="517" spans="2:2" ht="13" x14ac:dyDescent="0.15">
      <c r="B517" s="95"/>
    </row>
    <row r="518" spans="2:2" ht="13" x14ac:dyDescent="0.15">
      <c r="B518" s="95"/>
    </row>
    <row r="519" spans="2:2" ht="13" x14ac:dyDescent="0.15">
      <c r="B519" s="95"/>
    </row>
    <row r="520" spans="2:2" ht="13" x14ac:dyDescent="0.15">
      <c r="B520" s="95"/>
    </row>
    <row r="521" spans="2:2" ht="13" x14ac:dyDescent="0.15">
      <c r="B521" s="95"/>
    </row>
    <row r="522" spans="2:2" ht="13" x14ac:dyDescent="0.15">
      <c r="B522" s="95"/>
    </row>
    <row r="523" spans="2:2" ht="13" x14ac:dyDescent="0.15">
      <c r="B523" s="95"/>
    </row>
    <row r="524" spans="2:2" ht="13" x14ac:dyDescent="0.15">
      <c r="B524" s="95"/>
    </row>
    <row r="525" spans="2:2" ht="13" x14ac:dyDescent="0.15">
      <c r="B525" s="95"/>
    </row>
    <row r="526" spans="2:2" ht="13" x14ac:dyDescent="0.15">
      <c r="B526" s="95"/>
    </row>
    <row r="527" spans="2:2" ht="13" x14ac:dyDescent="0.15">
      <c r="B527" s="95"/>
    </row>
    <row r="528" spans="2:2" ht="13" x14ac:dyDescent="0.15">
      <c r="B528" s="95"/>
    </row>
    <row r="529" spans="2:2" ht="13" x14ac:dyDescent="0.15">
      <c r="B529" s="95"/>
    </row>
    <row r="530" spans="2:2" ht="13" x14ac:dyDescent="0.15">
      <c r="B530" s="95"/>
    </row>
    <row r="531" spans="2:2" ht="13" x14ac:dyDescent="0.15">
      <c r="B531" s="95"/>
    </row>
    <row r="532" spans="2:2" ht="13" x14ac:dyDescent="0.15">
      <c r="B532" s="95"/>
    </row>
    <row r="533" spans="2:2" ht="13" x14ac:dyDescent="0.15">
      <c r="B533" s="95"/>
    </row>
    <row r="534" spans="2:2" ht="13" x14ac:dyDescent="0.15">
      <c r="B534" s="95"/>
    </row>
    <row r="535" spans="2:2" ht="13" x14ac:dyDescent="0.15">
      <c r="B535" s="95"/>
    </row>
    <row r="536" spans="2:2" ht="13" x14ac:dyDescent="0.15">
      <c r="B536" s="95"/>
    </row>
    <row r="537" spans="2:2" ht="13" x14ac:dyDescent="0.15">
      <c r="B537" s="95"/>
    </row>
    <row r="538" spans="2:2" ht="13" x14ac:dyDescent="0.15">
      <c r="B538" s="95"/>
    </row>
    <row r="539" spans="2:2" ht="13" x14ac:dyDescent="0.15">
      <c r="B539" s="95"/>
    </row>
    <row r="540" spans="2:2" ht="13" x14ac:dyDescent="0.15">
      <c r="B540" s="95"/>
    </row>
    <row r="541" spans="2:2" ht="13" x14ac:dyDescent="0.15">
      <c r="B541" s="95"/>
    </row>
    <row r="542" spans="2:2" ht="13" x14ac:dyDescent="0.15">
      <c r="B542" s="95"/>
    </row>
    <row r="543" spans="2:2" ht="13" x14ac:dyDescent="0.15">
      <c r="B543" s="95"/>
    </row>
    <row r="544" spans="2:2" ht="13" x14ac:dyDescent="0.15">
      <c r="B544" s="95"/>
    </row>
    <row r="545" spans="2:2" ht="13" x14ac:dyDescent="0.15">
      <c r="B545" s="95"/>
    </row>
    <row r="546" spans="2:2" ht="13" x14ac:dyDescent="0.15">
      <c r="B546" s="95"/>
    </row>
    <row r="547" spans="2:2" ht="13" x14ac:dyDescent="0.15">
      <c r="B547" s="95"/>
    </row>
    <row r="548" spans="2:2" ht="13" x14ac:dyDescent="0.15">
      <c r="B548" s="95"/>
    </row>
    <row r="549" spans="2:2" ht="13" x14ac:dyDescent="0.15">
      <c r="B549" s="95"/>
    </row>
    <row r="550" spans="2:2" ht="13" x14ac:dyDescent="0.15">
      <c r="B550" s="95"/>
    </row>
    <row r="551" spans="2:2" ht="13" x14ac:dyDescent="0.15">
      <c r="B551" s="95"/>
    </row>
    <row r="552" spans="2:2" ht="13" x14ac:dyDescent="0.15">
      <c r="B552" s="95"/>
    </row>
    <row r="553" spans="2:2" ht="13" x14ac:dyDescent="0.15">
      <c r="B553" s="95"/>
    </row>
    <row r="554" spans="2:2" ht="13" x14ac:dyDescent="0.15">
      <c r="B554" s="95"/>
    </row>
    <row r="555" spans="2:2" ht="13" x14ac:dyDescent="0.15">
      <c r="B555" s="95"/>
    </row>
    <row r="556" spans="2:2" ht="13" x14ac:dyDescent="0.15">
      <c r="B556" s="95"/>
    </row>
    <row r="557" spans="2:2" ht="13" x14ac:dyDescent="0.15">
      <c r="B557" s="95"/>
    </row>
    <row r="558" spans="2:2" ht="13" x14ac:dyDescent="0.15">
      <c r="B558" s="95"/>
    </row>
    <row r="559" spans="2:2" ht="13" x14ac:dyDescent="0.15">
      <c r="B559" s="95"/>
    </row>
    <row r="560" spans="2:2" ht="13" x14ac:dyDescent="0.15">
      <c r="B560" s="95"/>
    </row>
    <row r="561" spans="2:2" ht="13" x14ac:dyDescent="0.15">
      <c r="B561" s="95"/>
    </row>
    <row r="562" spans="2:2" ht="13" x14ac:dyDescent="0.15">
      <c r="B562" s="95"/>
    </row>
    <row r="563" spans="2:2" ht="13" x14ac:dyDescent="0.15">
      <c r="B563" s="95"/>
    </row>
    <row r="564" spans="2:2" ht="13" x14ac:dyDescent="0.15">
      <c r="B564" s="95"/>
    </row>
    <row r="565" spans="2:2" ht="13" x14ac:dyDescent="0.15">
      <c r="B565" s="95"/>
    </row>
    <row r="566" spans="2:2" ht="13" x14ac:dyDescent="0.15">
      <c r="B566" s="95"/>
    </row>
    <row r="567" spans="2:2" ht="13" x14ac:dyDescent="0.15">
      <c r="B567" s="95"/>
    </row>
    <row r="568" spans="2:2" ht="13" x14ac:dyDescent="0.15">
      <c r="B568" s="95"/>
    </row>
    <row r="569" spans="2:2" ht="13" x14ac:dyDescent="0.15">
      <c r="B569" s="95"/>
    </row>
    <row r="570" spans="2:2" ht="13" x14ac:dyDescent="0.15">
      <c r="B570" s="95"/>
    </row>
    <row r="571" spans="2:2" ht="13" x14ac:dyDescent="0.15">
      <c r="B571" s="95"/>
    </row>
    <row r="572" spans="2:2" ht="13" x14ac:dyDescent="0.15">
      <c r="B572" s="95"/>
    </row>
    <row r="573" spans="2:2" ht="13" x14ac:dyDescent="0.15">
      <c r="B573" s="95"/>
    </row>
    <row r="574" spans="2:2" ht="13" x14ac:dyDescent="0.15">
      <c r="B574" s="95"/>
    </row>
    <row r="575" spans="2:2" ht="13" x14ac:dyDescent="0.15">
      <c r="B575" s="95"/>
    </row>
    <row r="576" spans="2:2" ht="13" x14ac:dyDescent="0.15">
      <c r="B576" s="95"/>
    </row>
    <row r="577" spans="2:2" ht="13" x14ac:dyDescent="0.15">
      <c r="B577" s="95"/>
    </row>
    <row r="578" spans="2:2" ht="13" x14ac:dyDescent="0.15">
      <c r="B578" s="95"/>
    </row>
    <row r="579" spans="2:2" ht="13" x14ac:dyDescent="0.15">
      <c r="B579" s="95"/>
    </row>
    <row r="580" spans="2:2" ht="13" x14ac:dyDescent="0.15">
      <c r="B580" s="95"/>
    </row>
    <row r="581" spans="2:2" ht="13" x14ac:dyDescent="0.15">
      <c r="B581" s="95"/>
    </row>
    <row r="582" spans="2:2" ht="13" x14ac:dyDescent="0.15">
      <c r="B582" s="95"/>
    </row>
    <row r="583" spans="2:2" ht="13" x14ac:dyDescent="0.15">
      <c r="B583" s="95"/>
    </row>
    <row r="584" spans="2:2" ht="13" x14ac:dyDescent="0.15">
      <c r="B584" s="95"/>
    </row>
    <row r="585" spans="2:2" ht="13" x14ac:dyDescent="0.15">
      <c r="B585" s="95"/>
    </row>
    <row r="586" spans="2:2" ht="13" x14ac:dyDescent="0.15">
      <c r="B586" s="95"/>
    </row>
    <row r="587" spans="2:2" ht="13" x14ac:dyDescent="0.15">
      <c r="B587" s="95"/>
    </row>
    <row r="588" spans="2:2" ht="13" x14ac:dyDescent="0.15">
      <c r="B588" s="95"/>
    </row>
    <row r="589" spans="2:2" ht="13" x14ac:dyDescent="0.15">
      <c r="B589" s="95"/>
    </row>
    <row r="590" spans="2:2" ht="13" x14ac:dyDescent="0.15">
      <c r="B590" s="95"/>
    </row>
    <row r="591" spans="2:2" ht="13" x14ac:dyDescent="0.15">
      <c r="B591" s="95"/>
    </row>
    <row r="592" spans="2:2" ht="13" x14ac:dyDescent="0.15">
      <c r="B592" s="95"/>
    </row>
    <row r="593" spans="2:2" ht="13" x14ac:dyDescent="0.15">
      <c r="B593" s="95"/>
    </row>
    <row r="594" spans="2:2" ht="13" x14ac:dyDescent="0.15">
      <c r="B594" s="95"/>
    </row>
    <row r="595" spans="2:2" ht="13" x14ac:dyDescent="0.15">
      <c r="B595" s="95"/>
    </row>
    <row r="596" spans="2:2" ht="13" x14ac:dyDescent="0.15">
      <c r="B596" s="95"/>
    </row>
    <row r="597" spans="2:2" ht="13" x14ac:dyDescent="0.15">
      <c r="B597" s="95"/>
    </row>
    <row r="598" spans="2:2" ht="13" x14ac:dyDescent="0.15">
      <c r="B598" s="95"/>
    </row>
    <row r="599" spans="2:2" ht="13" x14ac:dyDescent="0.15">
      <c r="B599" s="95"/>
    </row>
    <row r="600" spans="2:2" ht="13" x14ac:dyDescent="0.15">
      <c r="B600" s="95"/>
    </row>
    <row r="601" spans="2:2" ht="13" x14ac:dyDescent="0.15">
      <c r="B601" s="95"/>
    </row>
    <row r="602" spans="2:2" ht="13" x14ac:dyDescent="0.15">
      <c r="B602" s="95"/>
    </row>
    <row r="603" spans="2:2" ht="13" x14ac:dyDescent="0.15">
      <c r="B603" s="95"/>
    </row>
    <row r="604" spans="2:2" ht="13" x14ac:dyDescent="0.15">
      <c r="B604" s="95"/>
    </row>
    <row r="605" spans="2:2" ht="13" x14ac:dyDescent="0.15">
      <c r="B605" s="95"/>
    </row>
    <row r="606" spans="2:2" ht="13" x14ac:dyDescent="0.15">
      <c r="B606" s="95"/>
    </row>
    <row r="607" spans="2:2" ht="13" x14ac:dyDescent="0.15">
      <c r="B607" s="95"/>
    </row>
    <row r="608" spans="2:2" ht="13" x14ac:dyDescent="0.15">
      <c r="B608" s="95"/>
    </row>
    <row r="609" spans="2:2" ht="13" x14ac:dyDescent="0.15">
      <c r="B609" s="95"/>
    </row>
    <row r="610" spans="2:2" ht="13" x14ac:dyDescent="0.15">
      <c r="B610" s="95"/>
    </row>
    <row r="611" spans="2:2" ht="13" x14ac:dyDescent="0.15">
      <c r="B611" s="95"/>
    </row>
    <row r="612" spans="2:2" ht="13" x14ac:dyDescent="0.15">
      <c r="B612" s="95"/>
    </row>
    <row r="613" spans="2:2" ht="13" x14ac:dyDescent="0.15">
      <c r="B613" s="95"/>
    </row>
    <row r="614" spans="2:2" ht="13" x14ac:dyDescent="0.15">
      <c r="B614" s="95"/>
    </row>
    <row r="615" spans="2:2" ht="13" x14ac:dyDescent="0.15">
      <c r="B615" s="95"/>
    </row>
    <row r="616" spans="2:2" ht="13" x14ac:dyDescent="0.15">
      <c r="B616" s="95"/>
    </row>
    <row r="617" spans="2:2" ht="13" x14ac:dyDescent="0.15">
      <c r="B617" s="95"/>
    </row>
    <row r="618" spans="2:2" ht="13" x14ac:dyDescent="0.15">
      <c r="B618" s="95"/>
    </row>
    <row r="619" spans="2:2" ht="13" x14ac:dyDescent="0.15">
      <c r="B619" s="95"/>
    </row>
    <row r="620" spans="2:2" ht="13" x14ac:dyDescent="0.15">
      <c r="B620" s="95"/>
    </row>
    <row r="621" spans="2:2" ht="13" x14ac:dyDescent="0.15">
      <c r="B621" s="95"/>
    </row>
    <row r="622" spans="2:2" ht="13" x14ac:dyDescent="0.15">
      <c r="B622" s="95"/>
    </row>
    <row r="623" spans="2:2" ht="13" x14ac:dyDescent="0.15">
      <c r="B623" s="95"/>
    </row>
    <row r="624" spans="2:2" ht="13" x14ac:dyDescent="0.15">
      <c r="B624" s="95"/>
    </row>
    <row r="625" spans="2:2" ht="13" x14ac:dyDescent="0.15">
      <c r="B625" s="95"/>
    </row>
    <row r="626" spans="2:2" ht="13" x14ac:dyDescent="0.15">
      <c r="B626" s="95"/>
    </row>
    <row r="627" spans="2:2" ht="13" x14ac:dyDescent="0.15">
      <c r="B627" s="95"/>
    </row>
    <row r="628" spans="2:2" ht="13" x14ac:dyDescent="0.15">
      <c r="B628" s="95"/>
    </row>
    <row r="629" spans="2:2" ht="13" x14ac:dyDescent="0.15">
      <c r="B629" s="95"/>
    </row>
    <row r="630" spans="2:2" ht="13" x14ac:dyDescent="0.15">
      <c r="B630" s="95"/>
    </row>
    <row r="631" spans="2:2" ht="13" x14ac:dyDescent="0.15">
      <c r="B631" s="95"/>
    </row>
    <row r="632" spans="2:2" ht="13" x14ac:dyDescent="0.15">
      <c r="B632" s="95"/>
    </row>
    <row r="633" spans="2:2" ht="13" x14ac:dyDescent="0.15">
      <c r="B633" s="95"/>
    </row>
    <row r="634" spans="2:2" ht="13" x14ac:dyDescent="0.15">
      <c r="B634" s="95"/>
    </row>
    <row r="635" spans="2:2" ht="13" x14ac:dyDescent="0.15">
      <c r="B635" s="95"/>
    </row>
    <row r="636" spans="2:2" ht="13" x14ac:dyDescent="0.15">
      <c r="B636" s="95"/>
    </row>
    <row r="637" spans="2:2" ht="13" x14ac:dyDescent="0.15">
      <c r="B637" s="95"/>
    </row>
    <row r="638" spans="2:2" ht="13" x14ac:dyDescent="0.15">
      <c r="B638" s="95"/>
    </row>
    <row r="639" spans="2:2" ht="13" x14ac:dyDescent="0.15">
      <c r="B639" s="95"/>
    </row>
    <row r="640" spans="2:2" ht="13" x14ac:dyDescent="0.15">
      <c r="B640" s="95"/>
    </row>
    <row r="641" spans="2:2" ht="13" x14ac:dyDescent="0.15">
      <c r="B641" s="95"/>
    </row>
    <row r="642" spans="2:2" ht="13" x14ac:dyDescent="0.15">
      <c r="B642" s="95"/>
    </row>
    <row r="643" spans="2:2" ht="13" x14ac:dyDescent="0.15">
      <c r="B643" s="95"/>
    </row>
    <row r="644" spans="2:2" ht="13" x14ac:dyDescent="0.15">
      <c r="B644" s="95"/>
    </row>
    <row r="645" spans="2:2" ht="13" x14ac:dyDescent="0.15">
      <c r="B645" s="95"/>
    </row>
    <row r="646" spans="2:2" ht="13" x14ac:dyDescent="0.15">
      <c r="B646" s="95"/>
    </row>
    <row r="647" spans="2:2" ht="13" x14ac:dyDescent="0.15">
      <c r="B647" s="95"/>
    </row>
    <row r="648" spans="2:2" ht="13" x14ac:dyDescent="0.15">
      <c r="B648" s="95"/>
    </row>
    <row r="649" spans="2:2" ht="13" x14ac:dyDescent="0.15">
      <c r="B649" s="95"/>
    </row>
    <row r="650" spans="2:2" ht="13" x14ac:dyDescent="0.15">
      <c r="B650" s="95"/>
    </row>
    <row r="651" spans="2:2" ht="13" x14ac:dyDescent="0.15">
      <c r="B651" s="95"/>
    </row>
    <row r="652" spans="2:2" ht="13" x14ac:dyDescent="0.15">
      <c r="B652" s="95"/>
    </row>
    <row r="653" spans="2:2" ht="13" x14ac:dyDescent="0.15">
      <c r="B653" s="95"/>
    </row>
    <row r="654" spans="2:2" ht="13" x14ac:dyDescent="0.15">
      <c r="B654" s="95"/>
    </row>
    <row r="655" spans="2:2" ht="13" x14ac:dyDescent="0.15">
      <c r="B655" s="95"/>
    </row>
    <row r="656" spans="2:2" ht="13" x14ac:dyDescent="0.15">
      <c r="B656" s="95"/>
    </row>
    <row r="657" spans="2:2" ht="13" x14ac:dyDescent="0.15">
      <c r="B657" s="95"/>
    </row>
    <row r="658" spans="2:2" ht="13" x14ac:dyDescent="0.15">
      <c r="B658" s="95"/>
    </row>
    <row r="659" spans="2:2" ht="13" x14ac:dyDescent="0.15">
      <c r="B659" s="95"/>
    </row>
    <row r="660" spans="2:2" ht="13" x14ac:dyDescent="0.15">
      <c r="B660" s="95"/>
    </row>
    <row r="661" spans="2:2" ht="13" x14ac:dyDescent="0.15">
      <c r="B661" s="95"/>
    </row>
    <row r="662" spans="2:2" ht="13" x14ac:dyDescent="0.15">
      <c r="B662" s="95"/>
    </row>
    <row r="663" spans="2:2" ht="13" x14ac:dyDescent="0.15">
      <c r="B663" s="95"/>
    </row>
    <row r="664" spans="2:2" ht="13" x14ac:dyDescent="0.15">
      <c r="B664" s="95"/>
    </row>
    <row r="665" spans="2:2" ht="13" x14ac:dyDescent="0.15">
      <c r="B665" s="95"/>
    </row>
    <row r="666" spans="2:2" ht="13" x14ac:dyDescent="0.15">
      <c r="B666" s="95"/>
    </row>
    <row r="667" spans="2:2" ht="13" x14ac:dyDescent="0.15">
      <c r="B667" s="95"/>
    </row>
    <row r="668" spans="2:2" ht="13" x14ac:dyDescent="0.15">
      <c r="B668" s="95"/>
    </row>
    <row r="669" spans="2:2" ht="13" x14ac:dyDescent="0.15">
      <c r="B669" s="95"/>
    </row>
    <row r="670" spans="2:2" ht="13" x14ac:dyDescent="0.15">
      <c r="B670" s="95"/>
    </row>
    <row r="671" spans="2:2" ht="13" x14ac:dyDescent="0.15">
      <c r="B671" s="95"/>
    </row>
    <row r="672" spans="2:2" ht="13" x14ac:dyDescent="0.15">
      <c r="B672" s="95"/>
    </row>
    <row r="673" spans="2:2" ht="13" x14ac:dyDescent="0.15">
      <c r="B673" s="95"/>
    </row>
    <row r="674" spans="2:2" ht="13" x14ac:dyDescent="0.15">
      <c r="B674" s="95"/>
    </row>
    <row r="675" spans="2:2" ht="13" x14ac:dyDescent="0.15">
      <c r="B675" s="95"/>
    </row>
    <row r="676" spans="2:2" ht="13" x14ac:dyDescent="0.15">
      <c r="B676" s="95"/>
    </row>
    <row r="677" spans="2:2" ht="13" x14ac:dyDescent="0.15">
      <c r="B677" s="95"/>
    </row>
    <row r="678" spans="2:2" ht="13" x14ac:dyDescent="0.15">
      <c r="B678" s="95"/>
    </row>
    <row r="679" spans="2:2" ht="13" x14ac:dyDescent="0.15">
      <c r="B679" s="95"/>
    </row>
    <row r="680" spans="2:2" ht="13" x14ac:dyDescent="0.15">
      <c r="B680" s="95"/>
    </row>
    <row r="681" spans="2:2" ht="13" x14ac:dyDescent="0.15">
      <c r="B681" s="95"/>
    </row>
    <row r="682" spans="2:2" ht="13" x14ac:dyDescent="0.15">
      <c r="B682" s="95"/>
    </row>
    <row r="683" spans="2:2" ht="13" x14ac:dyDescent="0.15">
      <c r="B683" s="95"/>
    </row>
    <row r="684" spans="2:2" ht="13" x14ac:dyDescent="0.15">
      <c r="B684" s="95"/>
    </row>
    <row r="685" spans="2:2" ht="13" x14ac:dyDescent="0.15">
      <c r="B685" s="95"/>
    </row>
    <row r="686" spans="2:2" ht="13" x14ac:dyDescent="0.15">
      <c r="B686" s="95"/>
    </row>
    <row r="687" spans="2:2" ht="13" x14ac:dyDescent="0.15">
      <c r="B687" s="95"/>
    </row>
    <row r="688" spans="2:2" ht="13" x14ac:dyDescent="0.15">
      <c r="B688" s="95"/>
    </row>
    <row r="689" spans="2:2" ht="13" x14ac:dyDescent="0.15">
      <c r="B689" s="95"/>
    </row>
    <row r="690" spans="2:2" ht="13" x14ac:dyDescent="0.15">
      <c r="B690" s="95"/>
    </row>
    <row r="691" spans="2:2" ht="13" x14ac:dyDescent="0.15">
      <c r="B691" s="95"/>
    </row>
    <row r="692" spans="2:2" ht="13" x14ac:dyDescent="0.15">
      <c r="B692" s="95"/>
    </row>
    <row r="693" spans="2:2" ht="13" x14ac:dyDescent="0.15">
      <c r="B693" s="95"/>
    </row>
    <row r="694" spans="2:2" ht="13" x14ac:dyDescent="0.15">
      <c r="B694" s="95"/>
    </row>
    <row r="695" spans="2:2" ht="13" x14ac:dyDescent="0.15">
      <c r="B695" s="95"/>
    </row>
    <row r="696" spans="2:2" ht="13" x14ac:dyDescent="0.15">
      <c r="B696" s="95"/>
    </row>
    <row r="697" spans="2:2" ht="13" x14ac:dyDescent="0.15">
      <c r="B697" s="95"/>
    </row>
    <row r="698" spans="2:2" ht="13" x14ac:dyDescent="0.15">
      <c r="B698" s="95"/>
    </row>
    <row r="699" spans="2:2" ht="13" x14ac:dyDescent="0.15">
      <c r="B699" s="95"/>
    </row>
    <row r="700" spans="2:2" ht="13" x14ac:dyDescent="0.15">
      <c r="B700" s="95"/>
    </row>
    <row r="701" spans="2:2" ht="13" x14ac:dyDescent="0.15">
      <c r="B701" s="95"/>
    </row>
    <row r="702" spans="2:2" ht="13" x14ac:dyDescent="0.15">
      <c r="B702" s="95"/>
    </row>
    <row r="703" spans="2:2" ht="13" x14ac:dyDescent="0.15">
      <c r="B703" s="95"/>
    </row>
    <row r="704" spans="2:2" ht="13" x14ac:dyDescent="0.15">
      <c r="B704" s="95"/>
    </row>
    <row r="705" spans="2:2" ht="13" x14ac:dyDescent="0.15">
      <c r="B705" s="95"/>
    </row>
    <row r="706" spans="2:2" ht="13" x14ac:dyDescent="0.15">
      <c r="B706" s="95"/>
    </row>
    <row r="707" spans="2:2" ht="13" x14ac:dyDescent="0.15">
      <c r="B707" s="95"/>
    </row>
    <row r="708" spans="2:2" ht="13" x14ac:dyDescent="0.15">
      <c r="B708" s="95"/>
    </row>
    <row r="709" spans="2:2" ht="13" x14ac:dyDescent="0.15">
      <c r="B709" s="95"/>
    </row>
    <row r="710" spans="2:2" ht="13" x14ac:dyDescent="0.15">
      <c r="B710" s="95"/>
    </row>
    <row r="711" spans="2:2" ht="13" x14ac:dyDescent="0.15">
      <c r="B711" s="95"/>
    </row>
    <row r="712" spans="2:2" ht="13" x14ac:dyDescent="0.15">
      <c r="B712" s="95"/>
    </row>
    <row r="713" spans="2:2" ht="13" x14ac:dyDescent="0.15">
      <c r="B713" s="95"/>
    </row>
    <row r="714" spans="2:2" ht="13" x14ac:dyDescent="0.15">
      <c r="B714" s="95"/>
    </row>
    <row r="715" spans="2:2" ht="13" x14ac:dyDescent="0.15">
      <c r="B715" s="95"/>
    </row>
    <row r="716" spans="2:2" ht="13" x14ac:dyDescent="0.15">
      <c r="B716" s="95"/>
    </row>
    <row r="717" spans="2:2" ht="13" x14ac:dyDescent="0.15">
      <c r="B717" s="95"/>
    </row>
    <row r="718" spans="2:2" ht="13" x14ac:dyDescent="0.15">
      <c r="B718" s="95"/>
    </row>
    <row r="719" spans="2:2" ht="13" x14ac:dyDescent="0.15">
      <c r="B719" s="95"/>
    </row>
    <row r="720" spans="2:2" ht="13" x14ac:dyDescent="0.15">
      <c r="B720" s="95"/>
    </row>
    <row r="721" spans="2:2" ht="13" x14ac:dyDescent="0.15">
      <c r="B721" s="95"/>
    </row>
    <row r="722" spans="2:2" ht="13" x14ac:dyDescent="0.15">
      <c r="B722" s="95"/>
    </row>
    <row r="723" spans="2:2" ht="13" x14ac:dyDescent="0.15">
      <c r="B723" s="95"/>
    </row>
    <row r="724" spans="2:2" ht="13" x14ac:dyDescent="0.15">
      <c r="B724" s="95"/>
    </row>
    <row r="725" spans="2:2" ht="13" x14ac:dyDescent="0.15">
      <c r="B725" s="95"/>
    </row>
    <row r="726" spans="2:2" ht="13" x14ac:dyDescent="0.15">
      <c r="B726" s="95"/>
    </row>
    <row r="727" spans="2:2" ht="13" x14ac:dyDescent="0.15">
      <c r="B727" s="95"/>
    </row>
    <row r="728" spans="2:2" ht="13" x14ac:dyDescent="0.15">
      <c r="B728" s="95"/>
    </row>
    <row r="729" spans="2:2" ht="13" x14ac:dyDescent="0.15">
      <c r="B729" s="95"/>
    </row>
    <row r="730" spans="2:2" ht="13" x14ac:dyDescent="0.15">
      <c r="B730" s="95"/>
    </row>
    <row r="731" spans="2:2" ht="13" x14ac:dyDescent="0.15">
      <c r="B731" s="95"/>
    </row>
    <row r="732" spans="2:2" ht="13" x14ac:dyDescent="0.15">
      <c r="B732" s="95"/>
    </row>
    <row r="733" spans="2:2" ht="13" x14ac:dyDescent="0.15">
      <c r="B733" s="95"/>
    </row>
    <row r="734" spans="2:2" ht="13" x14ac:dyDescent="0.15">
      <c r="B734" s="95"/>
    </row>
    <row r="735" spans="2:2" ht="13" x14ac:dyDescent="0.15">
      <c r="B735" s="95"/>
    </row>
    <row r="736" spans="2:2" ht="13" x14ac:dyDescent="0.15">
      <c r="B736" s="95"/>
    </row>
    <row r="737" spans="2:2" ht="13" x14ac:dyDescent="0.15">
      <c r="B737" s="95"/>
    </row>
    <row r="738" spans="2:2" ht="13" x14ac:dyDescent="0.15">
      <c r="B738" s="95"/>
    </row>
    <row r="739" spans="2:2" ht="13" x14ac:dyDescent="0.15">
      <c r="B739" s="95"/>
    </row>
    <row r="740" spans="2:2" ht="13" x14ac:dyDescent="0.15">
      <c r="B740" s="95"/>
    </row>
    <row r="741" spans="2:2" ht="13" x14ac:dyDescent="0.15">
      <c r="B741" s="95"/>
    </row>
    <row r="742" spans="2:2" ht="13" x14ac:dyDescent="0.15">
      <c r="B742" s="95"/>
    </row>
    <row r="743" spans="2:2" ht="13" x14ac:dyDescent="0.15">
      <c r="B743" s="95"/>
    </row>
    <row r="744" spans="2:2" ht="13" x14ac:dyDescent="0.15">
      <c r="B744" s="95"/>
    </row>
    <row r="745" spans="2:2" ht="13" x14ac:dyDescent="0.15">
      <c r="B745" s="95"/>
    </row>
    <row r="746" spans="2:2" ht="13" x14ac:dyDescent="0.15">
      <c r="B746" s="95"/>
    </row>
    <row r="747" spans="2:2" ht="13" x14ac:dyDescent="0.15">
      <c r="B747" s="95"/>
    </row>
    <row r="748" spans="2:2" ht="13" x14ac:dyDescent="0.15">
      <c r="B748" s="95"/>
    </row>
    <row r="749" spans="2:2" ht="13" x14ac:dyDescent="0.15">
      <c r="B749" s="95"/>
    </row>
    <row r="750" spans="2:2" ht="13" x14ac:dyDescent="0.15">
      <c r="B750" s="95"/>
    </row>
    <row r="751" spans="2:2" ht="13" x14ac:dyDescent="0.15">
      <c r="B751" s="95"/>
    </row>
    <row r="752" spans="2:2" ht="13" x14ac:dyDescent="0.15">
      <c r="B752" s="95"/>
    </row>
    <row r="753" spans="2:2" ht="13" x14ac:dyDescent="0.15">
      <c r="B753" s="95"/>
    </row>
    <row r="754" spans="2:2" ht="13" x14ac:dyDescent="0.15">
      <c r="B754" s="95"/>
    </row>
    <row r="755" spans="2:2" ht="13" x14ac:dyDescent="0.15">
      <c r="B755" s="95"/>
    </row>
    <row r="756" spans="2:2" ht="13" x14ac:dyDescent="0.15">
      <c r="B756" s="95"/>
    </row>
    <row r="757" spans="2:2" ht="13" x14ac:dyDescent="0.15">
      <c r="B757" s="95"/>
    </row>
    <row r="758" spans="2:2" ht="13" x14ac:dyDescent="0.15">
      <c r="B758" s="95"/>
    </row>
    <row r="759" spans="2:2" ht="13" x14ac:dyDescent="0.15">
      <c r="B759" s="95"/>
    </row>
    <row r="760" spans="2:2" ht="13" x14ac:dyDescent="0.15">
      <c r="B760" s="95"/>
    </row>
    <row r="761" spans="2:2" ht="13" x14ac:dyDescent="0.15">
      <c r="B761" s="95"/>
    </row>
    <row r="762" spans="2:2" ht="13" x14ac:dyDescent="0.15">
      <c r="B762" s="95"/>
    </row>
    <row r="763" spans="2:2" ht="13" x14ac:dyDescent="0.15">
      <c r="B763" s="95"/>
    </row>
    <row r="764" spans="2:2" ht="13" x14ac:dyDescent="0.15">
      <c r="B764" s="95"/>
    </row>
    <row r="765" spans="2:2" ht="13" x14ac:dyDescent="0.15">
      <c r="B765" s="95"/>
    </row>
    <row r="766" spans="2:2" ht="13" x14ac:dyDescent="0.15">
      <c r="B766" s="95"/>
    </row>
    <row r="767" spans="2:2" ht="13" x14ac:dyDescent="0.15">
      <c r="B767" s="95"/>
    </row>
    <row r="768" spans="2:2" ht="13" x14ac:dyDescent="0.15">
      <c r="B768" s="95"/>
    </row>
    <row r="769" spans="2:2" ht="13" x14ac:dyDescent="0.15">
      <c r="B769" s="95"/>
    </row>
    <row r="770" spans="2:2" ht="13" x14ac:dyDescent="0.15">
      <c r="B770" s="95"/>
    </row>
    <row r="771" spans="2:2" ht="13" x14ac:dyDescent="0.15">
      <c r="B771" s="95"/>
    </row>
    <row r="772" spans="2:2" ht="13" x14ac:dyDescent="0.15">
      <c r="B772" s="95"/>
    </row>
    <row r="773" spans="2:2" ht="13" x14ac:dyDescent="0.15">
      <c r="B773" s="95"/>
    </row>
    <row r="774" spans="2:2" ht="13" x14ac:dyDescent="0.15">
      <c r="B774" s="95"/>
    </row>
    <row r="775" spans="2:2" ht="13" x14ac:dyDescent="0.15">
      <c r="B775" s="95"/>
    </row>
    <row r="776" spans="2:2" ht="13" x14ac:dyDescent="0.15">
      <c r="B776" s="95"/>
    </row>
    <row r="777" spans="2:2" ht="13" x14ac:dyDescent="0.15">
      <c r="B777" s="95"/>
    </row>
    <row r="778" spans="2:2" ht="13" x14ac:dyDescent="0.15">
      <c r="B778" s="95"/>
    </row>
    <row r="779" spans="2:2" ht="13" x14ac:dyDescent="0.15">
      <c r="B779" s="95"/>
    </row>
    <row r="780" spans="2:2" ht="13" x14ac:dyDescent="0.15">
      <c r="B780" s="95"/>
    </row>
    <row r="781" spans="2:2" ht="13" x14ac:dyDescent="0.15">
      <c r="B781" s="95"/>
    </row>
    <row r="782" spans="2:2" ht="13" x14ac:dyDescent="0.15">
      <c r="B782" s="95"/>
    </row>
    <row r="783" spans="2:2" ht="13" x14ac:dyDescent="0.15">
      <c r="B783" s="95"/>
    </row>
    <row r="784" spans="2:2" ht="13" x14ac:dyDescent="0.15">
      <c r="B784" s="95"/>
    </row>
    <row r="785" spans="2:2" ht="13" x14ac:dyDescent="0.15">
      <c r="B785" s="95"/>
    </row>
    <row r="786" spans="2:2" ht="13" x14ac:dyDescent="0.15">
      <c r="B786" s="95"/>
    </row>
    <row r="787" spans="2:2" ht="13" x14ac:dyDescent="0.15">
      <c r="B787" s="95"/>
    </row>
    <row r="788" spans="2:2" ht="13" x14ac:dyDescent="0.15">
      <c r="B788" s="95"/>
    </row>
    <row r="789" spans="2:2" ht="13" x14ac:dyDescent="0.15">
      <c r="B789" s="95"/>
    </row>
    <row r="790" spans="2:2" ht="13" x14ac:dyDescent="0.15">
      <c r="B790" s="95"/>
    </row>
    <row r="791" spans="2:2" ht="13" x14ac:dyDescent="0.15">
      <c r="B791" s="95"/>
    </row>
    <row r="792" spans="2:2" ht="13" x14ac:dyDescent="0.15">
      <c r="B792" s="95"/>
    </row>
    <row r="793" spans="2:2" ht="13" x14ac:dyDescent="0.15">
      <c r="B793" s="95"/>
    </row>
    <row r="794" spans="2:2" ht="13" x14ac:dyDescent="0.15">
      <c r="B794" s="95"/>
    </row>
    <row r="795" spans="2:2" ht="13" x14ac:dyDescent="0.15">
      <c r="B795" s="95"/>
    </row>
    <row r="796" spans="2:2" ht="13" x14ac:dyDescent="0.15">
      <c r="B796" s="95"/>
    </row>
    <row r="797" spans="2:2" ht="13" x14ac:dyDescent="0.15">
      <c r="B797" s="95"/>
    </row>
    <row r="798" spans="2:2" ht="13" x14ac:dyDescent="0.15">
      <c r="B798" s="95"/>
    </row>
    <row r="799" spans="2:2" ht="13" x14ac:dyDescent="0.15">
      <c r="B799" s="95"/>
    </row>
    <row r="800" spans="2:2" ht="13" x14ac:dyDescent="0.15">
      <c r="B800" s="95"/>
    </row>
    <row r="801" spans="2:2" ht="13" x14ac:dyDescent="0.15">
      <c r="B801" s="95"/>
    </row>
    <row r="802" spans="2:2" ht="13" x14ac:dyDescent="0.15">
      <c r="B802" s="95"/>
    </row>
    <row r="803" spans="2:2" ht="13" x14ac:dyDescent="0.15">
      <c r="B803" s="95"/>
    </row>
    <row r="804" spans="2:2" ht="13" x14ac:dyDescent="0.15">
      <c r="B804" s="95"/>
    </row>
    <row r="805" spans="2:2" ht="13" x14ac:dyDescent="0.15">
      <c r="B805" s="95"/>
    </row>
    <row r="806" spans="2:2" ht="13" x14ac:dyDescent="0.15">
      <c r="B806" s="95"/>
    </row>
    <row r="807" spans="2:2" ht="13" x14ac:dyDescent="0.15">
      <c r="B807" s="95"/>
    </row>
    <row r="808" spans="2:2" ht="13" x14ac:dyDescent="0.15">
      <c r="B808" s="95"/>
    </row>
    <row r="809" spans="2:2" ht="13" x14ac:dyDescent="0.15">
      <c r="B809" s="95"/>
    </row>
    <row r="810" spans="2:2" ht="13" x14ac:dyDescent="0.15">
      <c r="B810" s="95"/>
    </row>
    <row r="811" spans="2:2" ht="13" x14ac:dyDescent="0.15">
      <c r="B811" s="95"/>
    </row>
    <row r="812" spans="2:2" ht="13" x14ac:dyDescent="0.15">
      <c r="B812" s="95"/>
    </row>
    <row r="813" spans="2:2" ht="13" x14ac:dyDescent="0.15">
      <c r="B813" s="95"/>
    </row>
    <row r="814" spans="2:2" ht="13" x14ac:dyDescent="0.15">
      <c r="B814" s="95"/>
    </row>
    <row r="815" spans="2:2" ht="13" x14ac:dyDescent="0.15">
      <c r="B815" s="95"/>
    </row>
    <row r="816" spans="2:2" ht="13" x14ac:dyDescent="0.15">
      <c r="B816" s="95"/>
    </row>
    <row r="817" spans="2:2" ht="13" x14ac:dyDescent="0.15">
      <c r="B817" s="95"/>
    </row>
    <row r="818" spans="2:2" ht="13" x14ac:dyDescent="0.15">
      <c r="B818" s="95"/>
    </row>
    <row r="819" spans="2:2" ht="13" x14ac:dyDescent="0.15">
      <c r="B819" s="95"/>
    </row>
    <row r="820" spans="2:2" ht="13" x14ac:dyDescent="0.15">
      <c r="B820" s="95"/>
    </row>
    <row r="821" spans="2:2" ht="13" x14ac:dyDescent="0.15">
      <c r="B821" s="95"/>
    </row>
    <row r="822" spans="2:2" ht="13" x14ac:dyDescent="0.15">
      <c r="B822" s="95"/>
    </row>
    <row r="823" spans="2:2" ht="13" x14ac:dyDescent="0.15">
      <c r="B823" s="95"/>
    </row>
    <row r="824" spans="2:2" ht="13" x14ac:dyDescent="0.15">
      <c r="B824" s="95"/>
    </row>
    <row r="825" spans="2:2" ht="13" x14ac:dyDescent="0.15">
      <c r="B825" s="95"/>
    </row>
    <row r="826" spans="2:2" ht="13" x14ac:dyDescent="0.15">
      <c r="B826" s="95"/>
    </row>
    <row r="827" spans="2:2" ht="13" x14ac:dyDescent="0.15">
      <c r="B827" s="95"/>
    </row>
    <row r="828" spans="2:2" ht="13" x14ac:dyDescent="0.15">
      <c r="B828" s="95"/>
    </row>
    <row r="829" spans="2:2" ht="13" x14ac:dyDescent="0.15">
      <c r="B829" s="95"/>
    </row>
    <row r="830" spans="2:2" ht="13" x14ac:dyDescent="0.15">
      <c r="B830" s="95"/>
    </row>
    <row r="831" spans="2:2" ht="13" x14ac:dyDescent="0.15">
      <c r="B831" s="95"/>
    </row>
    <row r="832" spans="2:2" ht="13" x14ac:dyDescent="0.15">
      <c r="B832" s="95"/>
    </row>
    <row r="833" spans="2:2" ht="13" x14ac:dyDescent="0.15">
      <c r="B833" s="95"/>
    </row>
    <row r="834" spans="2:2" ht="13" x14ac:dyDescent="0.15">
      <c r="B834" s="95"/>
    </row>
    <row r="835" spans="2:2" ht="13" x14ac:dyDescent="0.15">
      <c r="B835" s="95"/>
    </row>
    <row r="836" spans="2:2" ht="13" x14ac:dyDescent="0.15">
      <c r="B836" s="95"/>
    </row>
    <row r="837" spans="2:2" ht="13" x14ac:dyDescent="0.15">
      <c r="B837" s="95"/>
    </row>
    <row r="838" spans="2:2" ht="13" x14ac:dyDescent="0.15">
      <c r="B838" s="95"/>
    </row>
    <row r="839" spans="2:2" ht="13" x14ac:dyDescent="0.15">
      <c r="B839" s="95"/>
    </row>
    <row r="840" spans="2:2" ht="13" x14ac:dyDescent="0.15">
      <c r="B840" s="95"/>
    </row>
    <row r="841" spans="2:2" ht="13" x14ac:dyDescent="0.15">
      <c r="B841" s="95"/>
    </row>
    <row r="842" spans="2:2" ht="13" x14ac:dyDescent="0.15">
      <c r="B842" s="95"/>
    </row>
    <row r="843" spans="2:2" ht="13" x14ac:dyDescent="0.15">
      <c r="B843" s="95"/>
    </row>
    <row r="844" spans="2:2" ht="13" x14ac:dyDescent="0.15">
      <c r="B844" s="95"/>
    </row>
    <row r="845" spans="2:2" ht="13" x14ac:dyDescent="0.15">
      <c r="B845" s="95"/>
    </row>
    <row r="846" spans="2:2" ht="13" x14ac:dyDescent="0.15">
      <c r="B846" s="95"/>
    </row>
    <row r="847" spans="2:2" ht="13" x14ac:dyDescent="0.15">
      <c r="B847" s="95"/>
    </row>
    <row r="848" spans="2:2" ht="13" x14ac:dyDescent="0.15">
      <c r="B848" s="95"/>
    </row>
    <row r="849" spans="2:2" ht="13" x14ac:dyDescent="0.15">
      <c r="B849" s="95"/>
    </row>
    <row r="850" spans="2:2" ht="13" x14ac:dyDescent="0.15">
      <c r="B850" s="95"/>
    </row>
    <row r="851" spans="2:2" ht="13" x14ac:dyDescent="0.15">
      <c r="B851" s="95"/>
    </row>
    <row r="852" spans="2:2" ht="13" x14ac:dyDescent="0.15">
      <c r="B852" s="95"/>
    </row>
    <row r="853" spans="2:2" ht="13" x14ac:dyDescent="0.15">
      <c r="B853" s="95"/>
    </row>
    <row r="854" spans="2:2" ht="13" x14ac:dyDescent="0.15">
      <c r="B854" s="95"/>
    </row>
    <row r="855" spans="2:2" ht="13" x14ac:dyDescent="0.15">
      <c r="B855" s="95"/>
    </row>
    <row r="856" spans="2:2" ht="13" x14ac:dyDescent="0.15">
      <c r="B856" s="95"/>
    </row>
    <row r="857" spans="2:2" ht="13" x14ac:dyDescent="0.15">
      <c r="B857" s="95"/>
    </row>
    <row r="858" spans="2:2" ht="13" x14ac:dyDescent="0.15">
      <c r="B858" s="95"/>
    </row>
    <row r="859" spans="2:2" ht="13" x14ac:dyDescent="0.15">
      <c r="B859" s="95"/>
    </row>
    <row r="860" spans="2:2" ht="13" x14ac:dyDescent="0.15">
      <c r="B860" s="95"/>
    </row>
    <row r="861" spans="2:2" ht="13" x14ac:dyDescent="0.15">
      <c r="B861" s="95"/>
    </row>
    <row r="862" spans="2:2" ht="13" x14ac:dyDescent="0.15">
      <c r="B862" s="95"/>
    </row>
    <row r="863" spans="2:2" ht="13" x14ac:dyDescent="0.15">
      <c r="B863" s="95"/>
    </row>
    <row r="864" spans="2:2" ht="13" x14ac:dyDescent="0.15">
      <c r="B864" s="95"/>
    </row>
    <row r="865" spans="2:2" ht="13" x14ac:dyDescent="0.15">
      <c r="B865" s="95"/>
    </row>
    <row r="866" spans="2:2" ht="13" x14ac:dyDescent="0.15">
      <c r="B866" s="95"/>
    </row>
    <row r="867" spans="2:2" ht="13" x14ac:dyDescent="0.15">
      <c r="B867" s="95"/>
    </row>
    <row r="868" spans="2:2" ht="13" x14ac:dyDescent="0.15">
      <c r="B868" s="95"/>
    </row>
    <row r="869" spans="2:2" ht="13" x14ac:dyDescent="0.15">
      <c r="B869" s="95"/>
    </row>
    <row r="870" spans="2:2" ht="13" x14ac:dyDescent="0.15">
      <c r="B870" s="95"/>
    </row>
    <row r="871" spans="2:2" ht="13" x14ac:dyDescent="0.15">
      <c r="B871" s="95"/>
    </row>
    <row r="872" spans="2:2" ht="13" x14ac:dyDescent="0.15">
      <c r="B872" s="95"/>
    </row>
    <row r="873" spans="2:2" ht="13" x14ac:dyDescent="0.15">
      <c r="B873" s="95"/>
    </row>
    <row r="874" spans="2:2" ht="13" x14ac:dyDescent="0.15">
      <c r="B874" s="95"/>
    </row>
    <row r="875" spans="2:2" ht="13" x14ac:dyDescent="0.15">
      <c r="B875" s="95"/>
    </row>
    <row r="876" spans="2:2" ht="13" x14ac:dyDescent="0.15">
      <c r="B876" s="95"/>
    </row>
    <row r="877" spans="2:2" ht="13" x14ac:dyDescent="0.15">
      <c r="B877" s="95"/>
    </row>
    <row r="878" spans="2:2" ht="13" x14ac:dyDescent="0.15">
      <c r="B878" s="95"/>
    </row>
    <row r="879" spans="2:2" ht="13" x14ac:dyDescent="0.15">
      <c r="B879" s="95"/>
    </row>
    <row r="880" spans="2:2" ht="13" x14ac:dyDescent="0.15">
      <c r="B880" s="95"/>
    </row>
    <row r="881" spans="2:2" ht="13" x14ac:dyDescent="0.15">
      <c r="B881" s="95"/>
    </row>
    <row r="882" spans="2:2" ht="13" x14ac:dyDescent="0.15">
      <c r="B882" s="95"/>
    </row>
    <row r="883" spans="2:2" ht="13" x14ac:dyDescent="0.15">
      <c r="B883" s="95"/>
    </row>
    <row r="884" spans="2:2" ht="13" x14ac:dyDescent="0.15">
      <c r="B884" s="95"/>
    </row>
    <row r="885" spans="2:2" ht="13" x14ac:dyDescent="0.15">
      <c r="B885" s="95"/>
    </row>
    <row r="886" spans="2:2" ht="13" x14ac:dyDescent="0.15">
      <c r="B886" s="95"/>
    </row>
    <row r="887" spans="2:2" ht="13" x14ac:dyDescent="0.15">
      <c r="B887" s="95"/>
    </row>
    <row r="888" spans="2:2" ht="13" x14ac:dyDescent="0.15">
      <c r="B888" s="95"/>
    </row>
    <row r="889" spans="2:2" ht="13" x14ac:dyDescent="0.15">
      <c r="B889" s="95"/>
    </row>
    <row r="890" spans="2:2" ht="13" x14ac:dyDescent="0.15">
      <c r="B890" s="95"/>
    </row>
    <row r="891" spans="2:2" ht="13" x14ac:dyDescent="0.15">
      <c r="B891" s="95"/>
    </row>
    <row r="892" spans="2:2" ht="13" x14ac:dyDescent="0.15">
      <c r="B892" s="95"/>
    </row>
    <row r="893" spans="2:2" ht="13" x14ac:dyDescent="0.15">
      <c r="B893" s="95"/>
    </row>
    <row r="894" spans="2:2" ht="13" x14ac:dyDescent="0.15">
      <c r="B894" s="95"/>
    </row>
    <row r="895" spans="2:2" ht="13" x14ac:dyDescent="0.15">
      <c r="B895" s="95"/>
    </row>
    <row r="896" spans="2:2" ht="13" x14ac:dyDescent="0.15">
      <c r="B896" s="95"/>
    </row>
    <row r="897" spans="2:2" ht="13" x14ac:dyDescent="0.15">
      <c r="B897" s="95"/>
    </row>
    <row r="898" spans="2:2" ht="13" x14ac:dyDescent="0.15">
      <c r="B898" s="95"/>
    </row>
    <row r="899" spans="2:2" ht="13" x14ac:dyDescent="0.15">
      <c r="B899" s="95"/>
    </row>
    <row r="900" spans="2:2" ht="13" x14ac:dyDescent="0.15">
      <c r="B900" s="95"/>
    </row>
    <row r="901" spans="2:2" ht="13" x14ac:dyDescent="0.15">
      <c r="B901" s="95"/>
    </row>
    <row r="902" spans="2:2" ht="13" x14ac:dyDescent="0.15">
      <c r="B902" s="95"/>
    </row>
    <row r="903" spans="2:2" ht="13" x14ac:dyDescent="0.15">
      <c r="B903" s="95"/>
    </row>
    <row r="904" spans="2:2" ht="13" x14ac:dyDescent="0.15">
      <c r="B904" s="95"/>
    </row>
    <row r="905" spans="2:2" ht="13" x14ac:dyDescent="0.15">
      <c r="B905" s="95"/>
    </row>
    <row r="906" spans="2:2" ht="13" x14ac:dyDescent="0.15">
      <c r="B906" s="95"/>
    </row>
    <row r="907" spans="2:2" ht="13" x14ac:dyDescent="0.15">
      <c r="B907" s="95"/>
    </row>
    <row r="908" spans="2:2" ht="13" x14ac:dyDescent="0.15">
      <c r="B908" s="95"/>
    </row>
    <row r="909" spans="2:2" ht="13" x14ac:dyDescent="0.15">
      <c r="B909" s="95"/>
    </row>
    <row r="910" spans="2:2" ht="13" x14ac:dyDescent="0.15">
      <c r="B910" s="95"/>
    </row>
    <row r="911" spans="2:2" ht="13" x14ac:dyDescent="0.15">
      <c r="B911" s="95"/>
    </row>
    <row r="912" spans="2:2" ht="13" x14ac:dyDescent="0.15">
      <c r="B912" s="95"/>
    </row>
    <row r="913" spans="2:2" ht="13" x14ac:dyDescent="0.15">
      <c r="B913" s="95"/>
    </row>
    <row r="914" spans="2:2" ht="13" x14ac:dyDescent="0.15">
      <c r="B914" s="95"/>
    </row>
    <row r="915" spans="2:2" ht="13" x14ac:dyDescent="0.15">
      <c r="B915" s="95"/>
    </row>
    <row r="916" spans="2:2" ht="13" x14ac:dyDescent="0.15">
      <c r="B916" s="95"/>
    </row>
    <row r="917" spans="2:2" ht="13" x14ac:dyDescent="0.15">
      <c r="B917" s="95"/>
    </row>
    <row r="918" spans="2:2" ht="13" x14ac:dyDescent="0.15">
      <c r="B918" s="95"/>
    </row>
    <row r="919" spans="2:2" ht="13" x14ac:dyDescent="0.15">
      <c r="B919" s="95"/>
    </row>
    <row r="920" spans="2:2" ht="13" x14ac:dyDescent="0.15">
      <c r="B920" s="95"/>
    </row>
    <row r="921" spans="2:2" ht="13" x14ac:dyDescent="0.15">
      <c r="B921" s="95"/>
    </row>
    <row r="922" spans="2:2" ht="13" x14ac:dyDescent="0.15">
      <c r="B922" s="95"/>
    </row>
    <row r="923" spans="2:2" ht="13" x14ac:dyDescent="0.15">
      <c r="B923" s="95"/>
    </row>
    <row r="924" spans="2:2" ht="13" x14ac:dyDescent="0.15">
      <c r="B924" s="95"/>
    </row>
    <row r="925" spans="2:2" ht="13" x14ac:dyDescent="0.15">
      <c r="B925" s="95"/>
    </row>
    <row r="926" spans="2:2" ht="13" x14ac:dyDescent="0.15">
      <c r="B926" s="95"/>
    </row>
    <row r="927" spans="2:2" ht="13" x14ac:dyDescent="0.15">
      <c r="B927" s="95"/>
    </row>
    <row r="928" spans="2:2" ht="13" x14ac:dyDescent="0.15">
      <c r="B928" s="95"/>
    </row>
    <row r="929" spans="2:2" ht="13" x14ac:dyDescent="0.15">
      <c r="B929" s="95"/>
    </row>
    <row r="930" spans="2:2" ht="13" x14ac:dyDescent="0.15">
      <c r="B930" s="95"/>
    </row>
    <row r="931" spans="2:2" ht="13" x14ac:dyDescent="0.15">
      <c r="B931" s="95"/>
    </row>
    <row r="932" spans="2:2" ht="13" x14ac:dyDescent="0.15">
      <c r="B932" s="95"/>
    </row>
    <row r="933" spans="2:2" ht="13" x14ac:dyDescent="0.15">
      <c r="B933" s="95"/>
    </row>
    <row r="934" spans="2:2" ht="13" x14ac:dyDescent="0.15">
      <c r="B934" s="95"/>
    </row>
    <row r="935" spans="2:2" ht="13" x14ac:dyDescent="0.15">
      <c r="B935" s="95"/>
    </row>
    <row r="936" spans="2:2" ht="13" x14ac:dyDescent="0.15">
      <c r="B936" s="95"/>
    </row>
    <row r="937" spans="2:2" ht="13" x14ac:dyDescent="0.15">
      <c r="B937" s="95"/>
    </row>
    <row r="938" spans="2:2" ht="13" x14ac:dyDescent="0.15">
      <c r="B938" s="95"/>
    </row>
    <row r="939" spans="2:2" ht="13" x14ac:dyDescent="0.15">
      <c r="B939" s="95"/>
    </row>
    <row r="940" spans="2:2" ht="13" x14ac:dyDescent="0.15">
      <c r="B940" s="95"/>
    </row>
    <row r="941" spans="2:2" ht="13" x14ac:dyDescent="0.15">
      <c r="B941" s="95"/>
    </row>
    <row r="942" spans="2:2" ht="13" x14ac:dyDescent="0.15">
      <c r="B942" s="95"/>
    </row>
    <row r="943" spans="2:2" ht="13" x14ac:dyDescent="0.15">
      <c r="B943" s="95"/>
    </row>
    <row r="944" spans="2:2" ht="13" x14ac:dyDescent="0.15">
      <c r="B944" s="95"/>
    </row>
    <row r="945" spans="2:2" ht="13" x14ac:dyDescent="0.15">
      <c r="B945" s="95"/>
    </row>
    <row r="946" spans="2:2" ht="13" x14ac:dyDescent="0.15">
      <c r="B946" s="95"/>
    </row>
    <row r="947" spans="2:2" ht="13" x14ac:dyDescent="0.15">
      <c r="B947" s="95"/>
    </row>
    <row r="948" spans="2:2" ht="13" x14ac:dyDescent="0.15">
      <c r="B948" s="95"/>
    </row>
    <row r="949" spans="2:2" ht="13" x14ac:dyDescent="0.15">
      <c r="B949" s="95"/>
    </row>
    <row r="950" spans="2:2" ht="13" x14ac:dyDescent="0.15">
      <c r="B950" s="95"/>
    </row>
    <row r="951" spans="2:2" ht="13" x14ac:dyDescent="0.15">
      <c r="B951" s="95"/>
    </row>
    <row r="952" spans="2:2" ht="13" x14ac:dyDescent="0.15">
      <c r="B952" s="95"/>
    </row>
    <row r="953" spans="2:2" ht="13" x14ac:dyDescent="0.15">
      <c r="B953" s="95"/>
    </row>
    <row r="954" spans="2:2" ht="13" x14ac:dyDescent="0.15">
      <c r="B954" s="95"/>
    </row>
    <row r="955" spans="2:2" ht="13" x14ac:dyDescent="0.15">
      <c r="B955" s="95"/>
    </row>
    <row r="956" spans="2:2" ht="13" x14ac:dyDescent="0.15">
      <c r="B956" s="95"/>
    </row>
    <row r="957" spans="2:2" ht="13" x14ac:dyDescent="0.15">
      <c r="B957" s="95"/>
    </row>
    <row r="958" spans="2:2" ht="13" x14ac:dyDescent="0.15">
      <c r="B958" s="95"/>
    </row>
    <row r="959" spans="2:2" ht="13" x14ac:dyDescent="0.15">
      <c r="B959" s="95"/>
    </row>
    <row r="960" spans="2:2" ht="13" x14ac:dyDescent="0.15">
      <c r="B960" s="95"/>
    </row>
    <row r="961" spans="2:2" ht="13" x14ac:dyDescent="0.15">
      <c r="B961" s="95"/>
    </row>
    <row r="962" spans="2:2" ht="13" x14ac:dyDescent="0.15">
      <c r="B962" s="95"/>
    </row>
    <row r="963" spans="2:2" ht="13" x14ac:dyDescent="0.15">
      <c r="B963" s="95"/>
    </row>
    <row r="964" spans="2:2" ht="13" x14ac:dyDescent="0.15">
      <c r="B964" s="95"/>
    </row>
    <row r="965" spans="2:2" ht="13" x14ac:dyDescent="0.15">
      <c r="B965" s="95"/>
    </row>
    <row r="966" spans="2:2" ht="13" x14ac:dyDescent="0.15">
      <c r="B966" s="95"/>
    </row>
    <row r="967" spans="2:2" ht="13" x14ac:dyDescent="0.15">
      <c r="B967" s="95"/>
    </row>
    <row r="968" spans="2:2" ht="13" x14ac:dyDescent="0.15">
      <c r="B968" s="95"/>
    </row>
    <row r="969" spans="2:2" ht="13" x14ac:dyDescent="0.15">
      <c r="B969" s="95"/>
    </row>
    <row r="970" spans="2:2" ht="13" x14ac:dyDescent="0.15">
      <c r="B970" s="95"/>
    </row>
    <row r="971" spans="2:2" ht="13" x14ac:dyDescent="0.15">
      <c r="B971" s="95"/>
    </row>
    <row r="972" spans="2:2" ht="13" x14ac:dyDescent="0.15">
      <c r="B972" s="95"/>
    </row>
    <row r="973" spans="2:2" ht="13" x14ac:dyDescent="0.15">
      <c r="B973" s="95"/>
    </row>
    <row r="974" spans="2:2" ht="13" x14ac:dyDescent="0.15">
      <c r="B974" s="95"/>
    </row>
    <row r="975" spans="2:2" ht="13" x14ac:dyDescent="0.15">
      <c r="B975" s="95"/>
    </row>
    <row r="976" spans="2:2" ht="13" x14ac:dyDescent="0.15">
      <c r="B976" s="95"/>
    </row>
    <row r="977" spans="2:2" ht="13" x14ac:dyDescent="0.15">
      <c r="B977" s="95"/>
    </row>
    <row r="978" spans="2:2" ht="13" x14ac:dyDescent="0.15">
      <c r="B978" s="95"/>
    </row>
    <row r="979" spans="2:2" ht="13" x14ac:dyDescent="0.15">
      <c r="B979" s="95"/>
    </row>
    <row r="980" spans="2:2" ht="13" x14ac:dyDescent="0.15">
      <c r="B980" s="95"/>
    </row>
    <row r="981" spans="2:2" ht="13" x14ac:dyDescent="0.15">
      <c r="B981" s="95"/>
    </row>
    <row r="982" spans="2:2" ht="13" x14ac:dyDescent="0.15">
      <c r="B982" s="95"/>
    </row>
    <row r="983" spans="2:2" ht="13" x14ac:dyDescent="0.15">
      <c r="B983" s="95"/>
    </row>
    <row r="984" spans="2:2" ht="13" x14ac:dyDescent="0.15">
      <c r="B984" s="95"/>
    </row>
    <row r="985" spans="2:2" ht="13" x14ac:dyDescent="0.15">
      <c r="B985" s="95"/>
    </row>
    <row r="986" spans="2:2" ht="13" x14ac:dyDescent="0.15">
      <c r="B986" s="95"/>
    </row>
    <row r="987" spans="2:2" ht="13" x14ac:dyDescent="0.15">
      <c r="B987" s="95"/>
    </row>
    <row r="988" spans="2:2" ht="13" x14ac:dyDescent="0.15">
      <c r="B988" s="95"/>
    </row>
    <row r="989" spans="2:2" ht="13" x14ac:dyDescent="0.15">
      <c r="B989" s="95"/>
    </row>
    <row r="990" spans="2:2" ht="13" x14ac:dyDescent="0.15">
      <c r="B990" s="95"/>
    </row>
    <row r="991" spans="2:2" ht="13" x14ac:dyDescent="0.15">
      <c r="B991" s="95"/>
    </row>
    <row r="992" spans="2:2" ht="13" x14ac:dyDescent="0.15">
      <c r="B992" s="95"/>
    </row>
    <row r="993" spans="2:2" ht="13" x14ac:dyDescent="0.15">
      <c r="B993" s="95"/>
    </row>
    <row r="994" spans="2:2" ht="13" x14ac:dyDescent="0.15">
      <c r="B994" s="95"/>
    </row>
    <row r="995" spans="2:2" ht="13" x14ac:dyDescent="0.15">
      <c r="B995" s="95"/>
    </row>
    <row r="996" spans="2:2" ht="13" x14ac:dyDescent="0.15">
      <c r="B996" s="95"/>
    </row>
    <row r="997" spans="2:2" ht="13" x14ac:dyDescent="0.15">
      <c r="B997" s="95"/>
    </row>
    <row r="998" spans="2:2" ht="13" x14ac:dyDescent="0.15">
      <c r="B998" s="95"/>
    </row>
    <row r="999" spans="2:2" ht="13" x14ac:dyDescent="0.15">
      <c r="B999" s="95"/>
    </row>
    <row r="1000" spans="2:2" ht="13" x14ac:dyDescent="0.15">
      <c r="B1000" s="95"/>
    </row>
    <row r="1001" spans="2:2" ht="13" x14ac:dyDescent="0.15">
      <c r="B1001" s="95"/>
    </row>
    <row r="1002" spans="2:2" ht="13" x14ac:dyDescent="0.15">
      <c r="B1002" s="95"/>
    </row>
    <row r="1003" spans="2:2" ht="13" x14ac:dyDescent="0.15">
      <c r="B1003" s="95"/>
    </row>
  </sheetData>
  <phoneticPr fontId="1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個人筆電</vt:lpstr>
      <vt:lpstr>健檢補助</vt:lpstr>
      <vt:lpstr>進修課程</vt:lpstr>
      <vt:lpstr>旅遊補助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聖凱 翁</cp:lastModifiedBy>
  <dcterms:modified xsi:type="dcterms:W3CDTF">2025-12-16T14:11:16Z</dcterms:modified>
</cp:coreProperties>
</file>